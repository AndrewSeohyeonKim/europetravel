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2.xml" ContentType="application/vnd.ms-office.chartstyle+xml"/>
  <Override PartName="/xl/charts/chart3.xml" ContentType="application/vnd.openxmlformats-officedocument.drawingml.chart+xml"/>
  <Override PartName="/xl/charts/chart2.xml" ContentType="application/vnd.openxmlformats-officedocument.drawingml.chart+xml"/>
  <Override PartName="/xl/charts/colors2.xml" ContentType="application/vnd.ms-office.chartcolorstyle+xml"/>
  <Override PartName="/xl/charts/style3.xml" ContentType="application/vnd.ms-office.chartstyle+xml"/>
  <Override PartName="/xl/charts/style1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전체 내역" sheetId="1" state="visible" r:id="rId3"/>
    <sheet name="카테고리 요약" sheetId="2" state="visible" r:id="rId4"/>
    <sheet name="일자별 지출" sheetId="3" state="visible" r:id="rId5"/>
    <sheet name="정산 요약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<sst xmlns="http://schemas.openxmlformats.org/spreadsheetml/2006/main" count="583" uniqueCount="132">
  <si>
    <t xml:space="preserve">날짜</t>
  </si>
  <si>
    <t xml:space="preserve">항목</t>
  </si>
  <si>
    <t xml:space="preserve">구간</t>
  </si>
  <si>
    <t xml:space="preserve">카테고리</t>
  </si>
  <si>
    <r>
      <rPr>
        <b val="true"/>
        <sz val="11"/>
        <color rgb="FFFFFFFF"/>
        <rFont val="Noto Sans CJK SC"/>
        <family val="2"/>
      </rPr>
      <t xml:space="preserve">금액 </t>
    </r>
    <r>
      <rPr>
        <b val="true"/>
        <sz val="11"/>
        <color rgb="FFFFFFFF"/>
        <rFont val="Arial"/>
        <family val="0"/>
        <charset val="1"/>
      </rPr>
      <t xml:space="preserve">(EUR)</t>
    </r>
  </si>
  <si>
    <t xml:space="preserve">5/23</t>
  </si>
  <si>
    <r>
      <rPr>
        <sz val="11"/>
        <rFont val="Arial"/>
        <family val="0"/>
        <charset val="1"/>
      </rPr>
      <t xml:space="preserve">Parking </t>
    </r>
    <r>
      <rPr>
        <sz val="11"/>
        <rFont val="Noto Sans CJK SC"/>
        <family val="2"/>
      </rPr>
      <t xml:space="preserve">주차</t>
    </r>
  </si>
  <si>
    <t xml:space="preserve">아일랜드</t>
  </si>
  <si>
    <r>
      <rPr>
        <sz val="11"/>
        <rFont val="Noto Sans CJK SC"/>
        <family val="2"/>
      </rPr>
      <t xml:space="preserve">교통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주차</t>
    </r>
  </si>
  <si>
    <t xml:space="preserve">미분류</t>
  </si>
  <si>
    <t xml:space="preserve">기타</t>
  </si>
  <si>
    <t xml:space="preserve">5/24</t>
  </si>
  <si>
    <r>
      <rPr>
        <sz val="11"/>
        <rFont val="Arial"/>
        <family val="0"/>
        <charset val="1"/>
      </rPr>
      <t xml:space="preserve">Lounge </t>
    </r>
    <r>
      <rPr>
        <sz val="11"/>
        <rFont val="Noto Sans CJK SC"/>
        <family val="2"/>
      </rPr>
      <t xml:space="preserve">라운지</t>
    </r>
  </si>
  <si>
    <t xml:space="preserve">5/25</t>
  </si>
  <si>
    <r>
      <rPr>
        <sz val="11"/>
        <rFont val="Arial"/>
        <family val="0"/>
        <charset val="1"/>
      </rPr>
      <t xml:space="preserve">Drunken fish </t>
    </r>
    <r>
      <rPr>
        <sz val="11"/>
        <rFont val="Noto Sans CJK SC"/>
        <family val="2"/>
      </rPr>
      <t xml:space="preserve">저녁</t>
    </r>
  </si>
  <si>
    <t xml:space="preserve">식비</t>
  </si>
  <si>
    <r>
      <rPr>
        <sz val="11"/>
        <rFont val="Arial"/>
        <family val="0"/>
        <charset val="1"/>
      </rPr>
      <t xml:space="preserve">Lao </t>
    </r>
    <r>
      <rPr>
        <sz val="11"/>
        <rFont val="Noto Sans CJK SC"/>
        <family val="2"/>
      </rPr>
      <t xml:space="preserve">식사</t>
    </r>
  </si>
  <si>
    <t xml:space="preserve">주유</t>
  </si>
  <si>
    <t xml:space="preserve">주차</t>
  </si>
  <si>
    <t xml:space="preserve">5/26</t>
  </si>
  <si>
    <t xml:space="preserve">초밥</t>
  </si>
  <si>
    <t xml:space="preserve">페리 예약</t>
  </si>
  <si>
    <t xml:space="preserve">5/27</t>
  </si>
  <si>
    <r>
      <rPr>
        <sz val="11"/>
        <rFont val="Arial"/>
        <family val="0"/>
        <charset val="1"/>
      </rPr>
      <t xml:space="preserve">Grano </t>
    </r>
    <r>
      <rPr>
        <sz val="11"/>
        <rFont val="Noto Sans CJK SC"/>
        <family val="2"/>
      </rPr>
      <t xml:space="preserve">식사</t>
    </r>
  </si>
  <si>
    <t xml:space="preserve">Fish n chips</t>
  </si>
  <si>
    <t xml:space="preserve">5/28</t>
  </si>
  <si>
    <t xml:space="preserve">맛밤 간식</t>
  </si>
  <si>
    <t xml:space="preserve">기름 주유</t>
  </si>
  <si>
    <t xml:space="preserve">Korean Table</t>
  </si>
  <si>
    <t xml:space="preserve">Johnnie fox</t>
  </si>
  <si>
    <t xml:space="preserve">5/29</t>
  </si>
  <si>
    <t xml:space="preserve">Lunch</t>
  </si>
  <si>
    <r>
      <rPr>
        <sz val="11"/>
        <rFont val="Arial"/>
        <family val="0"/>
        <charset val="1"/>
      </rPr>
      <t xml:space="preserve">Cashew </t>
    </r>
    <r>
      <rPr>
        <sz val="11"/>
        <rFont val="Noto Sans CJK SC"/>
        <family val="2"/>
      </rPr>
      <t xml:space="preserve">식사</t>
    </r>
  </si>
  <si>
    <t xml:space="preserve">5/30</t>
  </si>
  <si>
    <t xml:space="preserve">저녁</t>
  </si>
  <si>
    <t xml:space="preserve">5/31</t>
  </si>
  <si>
    <t xml:space="preserve">장보기</t>
  </si>
  <si>
    <r>
      <rPr>
        <sz val="11"/>
        <rFont val="Arial"/>
        <family val="0"/>
        <charset val="1"/>
      </rPr>
      <t xml:space="preserve">Polonez </t>
    </r>
    <r>
      <rPr>
        <sz val="11"/>
        <rFont val="Noto Sans CJK SC"/>
        <family val="2"/>
      </rPr>
      <t xml:space="preserve">식사</t>
    </r>
  </si>
  <si>
    <t xml:space="preserve">6/1</t>
  </si>
  <si>
    <t xml:space="preserve">비행기 좌석지정</t>
  </si>
  <si>
    <r>
      <rPr>
        <sz val="11"/>
        <rFont val="Noto Sans CJK SC"/>
        <family val="2"/>
      </rPr>
      <t xml:space="preserve">플리트비체 입장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사전예약</t>
    </r>
    <r>
      <rPr>
        <sz val="11"/>
        <rFont val="Arial"/>
        <family val="0"/>
        <charset val="1"/>
      </rPr>
      <t xml:space="preserve">)</t>
    </r>
  </si>
  <si>
    <r>
      <rPr>
        <sz val="11"/>
        <rFont val="Noto Sans CJK SC"/>
        <family val="2"/>
      </rPr>
      <t xml:space="preserve">관광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입장</t>
    </r>
  </si>
  <si>
    <r>
      <rPr>
        <sz val="11"/>
        <rFont val="Arial"/>
        <family val="0"/>
        <charset val="1"/>
      </rPr>
      <t xml:space="preserve">Luggage </t>
    </r>
    <r>
      <rPr>
        <sz val="11"/>
        <rFont val="Noto Sans CJK SC"/>
        <family val="2"/>
      </rPr>
      <t xml:space="preserve">수하물</t>
    </r>
  </si>
  <si>
    <t xml:space="preserve">6/2</t>
  </si>
  <si>
    <r>
      <rPr>
        <sz val="11"/>
        <rFont val="Arial"/>
        <family val="0"/>
        <charset val="1"/>
      </rPr>
      <t xml:space="preserve">Rent a car </t>
    </r>
    <r>
      <rPr>
        <sz val="11"/>
        <rFont val="Noto Sans CJK SC"/>
        <family val="2"/>
      </rPr>
      <t xml:space="preserve">렌터카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소액</t>
    </r>
    <r>
      <rPr>
        <sz val="11"/>
        <rFont val="Arial"/>
        <family val="0"/>
        <charset val="1"/>
      </rPr>
      <t xml:space="preserve">)</t>
    </r>
  </si>
  <si>
    <r>
      <rPr>
        <sz val="11"/>
        <rFont val="Noto Sans CJK SC"/>
        <family val="2"/>
      </rPr>
      <t xml:space="preserve">발칸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알프스</t>
    </r>
  </si>
  <si>
    <t xml:space="preserve">렌터카</t>
  </si>
  <si>
    <r>
      <rPr>
        <sz val="11"/>
        <rFont val="Arial"/>
        <family val="0"/>
        <charset val="1"/>
      </rPr>
      <t xml:space="preserve">Rent a car Alamo </t>
    </r>
    <r>
      <rPr>
        <sz val="11"/>
        <rFont val="Noto Sans CJK SC"/>
        <family val="2"/>
      </rPr>
      <t xml:space="preserve">렌터카</t>
    </r>
  </si>
  <si>
    <t xml:space="preserve">던즈 식사</t>
  </si>
  <si>
    <t xml:space="preserve">Taxi</t>
  </si>
  <si>
    <r>
      <rPr>
        <sz val="11"/>
        <rFont val="Arial"/>
        <family val="0"/>
        <charset val="1"/>
      </rPr>
      <t xml:space="preserve">Aldi </t>
    </r>
    <r>
      <rPr>
        <sz val="11"/>
        <rFont val="Noto Sans CJK SC"/>
        <family val="2"/>
      </rPr>
      <t xml:space="preserve">장보기</t>
    </r>
  </si>
  <si>
    <r>
      <rPr>
        <sz val="11"/>
        <rFont val="Arial"/>
        <family val="0"/>
        <charset val="1"/>
      </rPr>
      <t xml:space="preserve">Coreana </t>
    </r>
    <r>
      <rPr>
        <sz val="11"/>
        <rFont val="Noto Sans CJK SC"/>
        <family val="2"/>
      </rPr>
      <t xml:space="preserve">식사</t>
    </r>
  </si>
  <si>
    <r>
      <rPr>
        <sz val="11"/>
        <rFont val="Arial"/>
        <family val="0"/>
        <charset val="1"/>
      </rPr>
      <t xml:space="preserve">Toll </t>
    </r>
    <r>
      <rPr>
        <sz val="11"/>
        <rFont val="Noto Sans CJK SC"/>
        <family val="2"/>
      </rPr>
      <t xml:space="preserve">통행료</t>
    </r>
  </si>
  <si>
    <t xml:space="preserve">6/3</t>
  </si>
  <si>
    <t xml:space="preserve">전자 비녜트</t>
  </si>
  <si>
    <t xml:space="preserve">슈퍼 장보기</t>
  </si>
  <si>
    <t xml:space="preserve">점심</t>
  </si>
  <si>
    <r>
      <rPr>
        <sz val="11"/>
        <rFont val="Arial"/>
        <family val="0"/>
        <charset val="1"/>
      </rPr>
      <t xml:space="preserve">Dubrovnik Wall </t>
    </r>
    <r>
      <rPr>
        <sz val="11"/>
        <rFont val="Noto Sans CJK SC"/>
        <family val="2"/>
      </rPr>
      <t xml:space="preserve">성벽</t>
    </r>
  </si>
  <si>
    <t xml:space="preserve">6/4</t>
  </si>
  <si>
    <t xml:space="preserve">주차비</t>
  </si>
  <si>
    <r>
      <rPr>
        <sz val="11"/>
        <rFont val="Arial"/>
        <family val="0"/>
        <charset val="1"/>
      </rPr>
      <t xml:space="preserve">Meat </t>
    </r>
    <r>
      <rPr>
        <sz val="11"/>
        <rFont val="Noto Sans CJK SC"/>
        <family val="2"/>
      </rPr>
      <t xml:space="preserve">장보기</t>
    </r>
  </si>
  <si>
    <t xml:space="preserve">6/5</t>
  </si>
  <si>
    <t xml:space="preserve">톨비</t>
  </si>
  <si>
    <t xml:space="preserve">주유비</t>
  </si>
  <si>
    <r>
      <rPr>
        <sz val="11"/>
        <rFont val="Noto Sans CJK SC"/>
        <family val="2"/>
      </rPr>
      <t xml:space="preserve">폭포 입장료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크라비차</t>
    </r>
    <r>
      <rPr>
        <sz val="11"/>
        <rFont val="Arial"/>
        <family val="0"/>
        <charset val="1"/>
      </rPr>
      <t xml:space="preserve">)</t>
    </r>
  </si>
  <si>
    <t xml:space="preserve">6/6</t>
  </si>
  <si>
    <r>
      <rPr>
        <sz val="11"/>
        <rFont val="Arial"/>
        <family val="0"/>
        <charset val="1"/>
      </rPr>
      <t xml:space="preserve">Fruits </t>
    </r>
    <r>
      <rPr>
        <sz val="11"/>
        <rFont val="Noto Sans CJK SC"/>
        <family val="2"/>
      </rPr>
      <t xml:space="preserve">과일</t>
    </r>
  </si>
  <si>
    <t xml:space="preserve">크르카 국립공원 입장료</t>
  </si>
  <si>
    <t xml:space="preserve">수박</t>
  </si>
  <si>
    <r>
      <rPr>
        <sz val="11"/>
        <rFont val="Arial"/>
        <family val="0"/>
        <charset val="1"/>
      </rPr>
      <t xml:space="preserve">Italy Tourist Tax </t>
    </r>
    <r>
      <rPr>
        <sz val="11"/>
        <rFont val="Noto Sans CJK SC"/>
        <family val="2"/>
      </rPr>
      <t xml:space="preserve">관광세</t>
    </r>
  </si>
  <si>
    <t xml:space="preserve">Lunch-Michelin</t>
  </si>
  <si>
    <t xml:space="preserve">Gelato</t>
  </si>
  <si>
    <r>
      <rPr>
        <sz val="11"/>
        <rFont val="Arial"/>
        <family val="0"/>
        <charset val="1"/>
      </rPr>
      <t xml:space="preserve">Split ticket </t>
    </r>
    <r>
      <rPr>
        <sz val="11"/>
        <rFont val="Noto Sans CJK SC"/>
        <family val="2"/>
      </rPr>
      <t xml:space="preserve">관광</t>
    </r>
  </si>
  <si>
    <t xml:space="preserve">6/7</t>
  </si>
  <si>
    <t xml:space="preserve">관광세</t>
  </si>
  <si>
    <t xml:space="preserve">6/8</t>
  </si>
  <si>
    <r>
      <rPr>
        <sz val="11"/>
        <rFont val="Arial"/>
        <family val="0"/>
        <charset val="1"/>
      </rPr>
      <t xml:space="preserve">Supermarket </t>
    </r>
    <r>
      <rPr>
        <sz val="11"/>
        <rFont val="Noto Sans CJK SC"/>
        <family val="2"/>
      </rPr>
      <t xml:space="preserve">장보기</t>
    </r>
  </si>
  <si>
    <t xml:space="preserve">6/9</t>
  </si>
  <si>
    <r>
      <rPr>
        <sz val="11"/>
        <rFont val="Arial"/>
        <family val="0"/>
        <charset val="1"/>
      </rPr>
      <t xml:space="preserve">Tourist tax </t>
    </r>
    <r>
      <rPr>
        <sz val="11"/>
        <rFont val="Noto Sans CJK SC"/>
        <family val="2"/>
      </rPr>
      <t xml:space="preserve">관광세</t>
    </r>
  </si>
  <si>
    <r>
      <rPr>
        <sz val="11"/>
        <rFont val="Arial"/>
        <family val="0"/>
        <charset val="1"/>
      </rPr>
      <t xml:space="preserve">Shopping </t>
    </r>
    <r>
      <rPr>
        <sz val="11"/>
        <rFont val="Noto Sans CJK SC"/>
        <family val="2"/>
      </rPr>
      <t xml:space="preserve">쇼핑</t>
    </r>
  </si>
  <si>
    <t xml:space="preserve">쇼핑</t>
  </si>
  <si>
    <r>
      <rPr>
        <sz val="11"/>
        <rFont val="Arial"/>
        <family val="0"/>
        <charset val="1"/>
      </rPr>
      <t xml:space="preserve">Cathedral </t>
    </r>
    <r>
      <rPr>
        <sz val="11"/>
        <rFont val="Noto Sans CJK SC"/>
        <family val="2"/>
      </rPr>
      <t xml:space="preserve">대성당</t>
    </r>
  </si>
  <si>
    <r>
      <rPr>
        <sz val="11"/>
        <rFont val="Arial"/>
        <family val="0"/>
        <charset val="1"/>
      </rPr>
      <t xml:space="preserve">Fuel </t>
    </r>
    <r>
      <rPr>
        <sz val="11"/>
        <rFont val="Noto Sans CJK SC"/>
        <family val="2"/>
      </rPr>
      <t xml:space="preserve">주유</t>
    </r>
  </si>
  <si>
    <r>
      <rPr>
        <sz val="11"/>
        <rFont val="Arial"/>
        <family val="0"/>
        <charset val="1"/>
      </rPr>
      <t xml:space="preserve">Pharmacy </t>
    </r>
    <r>
      <rPr>
        <sz val="11"/>
        <rFont val="Noto Sans CJK SC"/>
        <family val="2"/>
      </rPr>
      <t xml:space="preserve">약국</t>
    </r>
  </si>
  <si>
    <t xml:space="preserve">6/10</t>
  </si>
  <si>
    <r>
      <rPr>
        <sz val="11"/>
        <rFont val="Arial"/>
        <family val="0"/>
        <charset val="1"/>
      </rPr>
      <t xml:space="preserve">Austria </t>
    </r>
    <r>
      <rPr>
        <sz val="11"/>
        <rFont val="Noto Sans CJK SC"/>
        <family val="2"/>
      </rPr>
      <t xml:space="preserve">비녜트</t>
    </r>
  </si>
  <si>
    <r>
      <rPr>
        <sz val="11"/>
        <rFont val="Arial"/>
        <family val="0"/>
        <charset val="1"/>
      </rPr>
      <t xml:space="preserve">Tre Cime Parking </t>
    </r>
    <r>
      <rPr>
        <sz val="11"/>
        <rFont val="Noto Sans CJK SC"/>
        <family val="2"/>
      </rPr>
      <t xml:space="preserve">주차</t>
    </r>
  </si>
  <si>
    <r>
      <rPr>
        <sz val="11"/>
        <rFont val="Arial"/>
        <family val="0"/>
        <charset val="1"/>
      </rPr>
      <t xml:space="preserve">Val Gardena Pass </t>
    </r>
    <r>
      <rPr>
        <sz val="11"/>
        <rFont val="Noto Sans CJK SC"/>
        <family val="2"/>
      </rPr>
      <t xml:space="preserve">리프트권</t>
    </r>
  </si>
  <si>
    <t xml:space="preserve">6/11</t>
  </si>
  <si>
    <r>
      <rPr>
        <sz val="11"/>
        <rFont val="Arial"/>
        <family val="0"/>
        <charset val="1"/>
      </rPr>
      <t xml:space="preserve">Spar </t>
    </r>
    <r>
      <rPr>
        <sz val="11"/>
        <rFont val="Noto Sans CJK SC"/>
        <family val="2"/>
      </rPr>
      <t xml:space="preserve">장보기</t>
    </r>
  </si>
  <si>
    <t xml:space="preserve">입장료</t>
  </si>
  <si>
    <t xml:space="preserve">6/12</t>
  </si>
  <si>
    <t xml:space="preserve">마트 장보기</t>
  </si>
  <si>
    <t xml:space="preserve">6/13</t>
  </si>
  <si>
    <r>
      <rPr>
        <sz val="11"/>
        <rFont val="Arial"/>
        <family val="0"/>
        <charset val="1"/>
      </rPr>
      <t xml:space="preserve">Entrance </t>
    </r>
    <r>
      <rPr>
        <sz val="11"/>
        <rFont val="Noto Sans CJK SC"/>
        <family val="2"/>
      </rPr>
      <t xml:space="preserve">입장</t>
    </r>
  </si>
  <si>
    <t xml:space="preserve">6/14</t>
  </si>
  <si>
    <r>
      <rPr>
        <sz val="11"/>
        <rFont val="Arial"/>
        <family val="0"/>
        <charset val="1"/>
      </rPr>
      <t xml:space="preserve">Bread </t>
    </r>
    <r>
      <rPr>
        <sz val="11"/>
        <rFont val="Noto Sans CJK SC"/>
        <family val="2"/>
      </rPr>
      <t xml:space="preserve">빵</t>
    </r>
  </si>
  <si>
    <t xml:space="preserve">6/15</t>
  </si>
  <si>
    <r>
      <rPr>
        <sz val="11"/>
        <rFont val="Arial"/>
        <family val="0"/>
        <charset val="1"/>
      </rPr>
      <t xml:space="preserve">Tram </t>
    </r>
    <r>
      <rPr>
        <sz val="11"/>
        <rFont val="Noto Sans CJK SC"/>
        <family val="2"/>
      </rPr>
      <t xml:space="preserve">트램</t>
    </r>
  </si>
  <si>
    <r>
      <rPr>
        <sz val="11"/>
        <rFont val="Arial"/>
        <family val="0"/>
        <charset val="1"/>
      </rPr>
      <t xml:space="preserve">Tourist Tax </t>
    </r>
    <r>
      <rPr>
        <sz val="11"/>
        <rFont val="Noto Sans CJK SC"/>
        <family val="2"/>
      </rPr>
      <t xml:space="preserve">관광세</t>
    </r>
  </si>
  <si>
    <r>
      <rPr>
        <sz val="11"/>
        <rFont val="Arial"/>
        <family val="0"/>
        <charset val="1"/>
      </rPr>
      <t xml:space="preserve">Sim </t>
    </r>
    <r>
      <rPr>
        <sz val="11"/>
        <rFont val="Noto Sans CJK SC"/>
        <family val="2"/>
      </rPr>
      <t xml:space="preserve">유심</t>
    </r>
  </si>
  <si>
    <t xml:space="preserve">KFC</t>
  </si>
  <si>
    <t xml:space="preserve">6/16</t>
  </si>
  <si>
    <t xml:space="preserve">주인할머니 와인 선물</t>
  </si>
  <si>
    <r>
      <rPr>
        <sz val="11"/>
        <rFont val="Arial"/>
        <family val="0"/>
        <charset val="1"/>
      </rPr>
      <t xml:space="preserve">Lindt </t>
    </r>
    <r>
      <rPr>
        <sz val="11"/>
        <rFont val="Noto Sans CJK SC"/>
        <family val="2"/>
      </rPr>
      <t xml:space="preserve">초콜릿 쇼핑</t>
    </r>
  </si>
  <si>
    <r>
      <rPr>
        <sz val="11"/>
        <rFont val="Arial"/>
        <family val="0"/>
        <charset val="1"/>
      </rPr>
      <t xml:space="preserve">Lunch </t>
    </r>
    <r>
      <rPr>
        <sz val="11"/>
        <rFont val="Noto Sans CJK SC"/>
        <family val="2"/>
      </rPr>
      <t xml:space="preserve">마조레 호숫가 점심</t>
    </r>
  </si>
  <si>
    <r>
      <rPr>
        <sz val="11"/>
        <rFont val="Arial"/>
        <family val="0"/>
        <charset val="1"/>
      </rPr>
      <t xml:space="preserve">Entrance fee </t>
    </r>
    <r>
      <rPr>
        <sz val="11"/>
        <rFont val="Noto Sans CJK SC"/>
        <family val="2"/>
      </rPr>
      <t xml:space="preserve">산타카테리나</t>
    </r>
  </si>
  <si>
    <r>
      <rPr>
        <sz val="11"/>
        <rFont val="Arial"/>
        <family val="0"/>
        <charset val="1"/>
      </rPr>
      <t xml:space="preserve">Taxi </t>
    </r>
    <r>
      <rPr>
        <sz val="11"/>
        <rFont val="Noto Sans CJK SC"/>
        <family val="2"/>
      </rPr>
      <t xml:space="preserve">공항→집 택시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최종</t>
    </r>
    <r>
      <rPr>
        <sz val="11"/>
        <rFont val="Arial"/>
        <family val="0"/>
        <charset val="1"/>
      </rPr>
      <t xml:space="preserve">)</t>
    </r>
  </si>
  <si>
    <r>
      <rPr>
        <sz val="11"/>
        <rFont val="Noto Sans CJK SC"/>
        <family val="2"/>
      </rPr>
      <t xml:space="preserve">공항 저녁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최종</t>
    </r>
    <r>
      <rPr>
        <sz val="11"/>
        <rFont val="Arial"/>
        <family val="0"/>
        <charset val="1"/>
      </rPr>
      <t xml:space="preserve">)</t>
    </r>
  </si>
  <si>
    <t xml:space="preserve">합계</t>
  </si>
  <si>
    <t xml:space="preserve">건수</t>
  </si>
  <si>
    <r>
      <rPr>
        <b val="true"/>
        <sz val="11"/>
        <color rgb="FFFFFFFF"/>
        <rFont val="Noto Sans CJK SC"/>
        <family val="2"/>
      </rPr>
      <t xml:space="preserve">합계 </t>
    </r>
    <r>
      <rPr>
        <b val="true"/>
        <sz val="11"/>
        <color rgb="FFFFFFFF"/>
        <rFont val="Arial"/>
        <family val="0"/>
        <charset val="1"/>
      </rPr>
      <t xml:space="preserve">(EUR)</t>
    </r>
  </si>
  <si>
    <t xml:space="preserve">비중</t>
  </si>
  <si>
    <r>
      <rPr>
        <b val="true"/>
        <sz val="11"/>
        <color rgb="FF1B4F72"/>
        <rFont val="Noto Sans CJK SC"/>
        <family val="2"/>
      </rPr>
      <t xml:space="preserve">교통</t>
    </r>
    <r>
      <rPr>
        <b val="true"/>
        <sz val="11"/>
        <color rgb="FF1B4F72"/>
        <rFont val="Arial"/>
        <family val="0"/>
        <charset val="1"/>
      </rPr>
      <t xml:space="preserve">·</t>
    </r>
    <r>
      <rPr>
        <b val="true"/>
        <sz val="11"/>
        <color rgb="FF1B4F72"/>
        <rFont val="Noto Sans CJK SC"/>
        <family val="2"/>
      </rPr>
      <t xml:space="preserve">주차</t>
    </r>
  </si>
  <si>
    <r>
      <rPr>
        <b val="true"/>
        <sz val="11"/>
        <color rgb="FF6B3FA0"/>
        <rFont val="Noto Sans CJK SC"/>
        <family val="2"/>
      </rPr>
      <t xml:space="preserve">관광</t>
    </r>
    <r>
      <rPr>
        <b val="true"/>
        <sz val="11"/>
        <color rgb="FF6B3FA0"/>
        <rFont val="Arial"/>
        <family val="0"/>
        <charset val="1"/>
      </rPr>
      <t xml:space="preserve">·</t>
    </r>
    <r>
      <rPr>
        <b val="true"/>
        <sz val="11"/>
        <color rgb="FF6B3FA0"/>
        <rFont val="Noto Sans CJK SC"/>
        <family val="2"/>
      </rPr>
      <t xml:space="preserve">입장</t>
    </r>
  </si>
  <si>
    <r>
      <rPr>
        <b val="true"/>
        <sz val="11"/>
        <color rgb="FFFFFFFF"/>
        <rFont val="Noto Sans CJK SC"/>
        <family val="2"/>
      </rPr>
      <t xml:space="preserve">지출 </t>
    </r>
    <r>
      <rPr>
        <b val="true"/>
        <sz val="11"/>
        <color rgb="FFFFFFFF"/>
        <rFont val="Arial"/>
        <family val="0"/>
        <charset val="1"/>
      </rPr>
      <t xml:space="preserve">(EUR)</t>
    </r>
  </si>
  <si>
    <r>
      <rPr>
        <b val="true"/>
        <sz val="13"/>
        <rFont val="Noto Sans CJK SC"/>
        <family val="2"/>
      </rPr>
      <t xml:space="preserve">여행 최종 정산 — 외할머니</t>
    </r>
    <r>
      <rPr>
        <b val="true"/>
        <sz val="13"/>
        <rFont val="Arial"/>
        <family val="0"/>
        <charset val="1"/>
      </rPr>
      <t xml:space="preserve">·</t>
    </r>
    <r>
      <rPr>
        <b val="true"/>
        <sz val="13"/>
        <rFont val="Noto Sans CJK SC"/>
        <family val="2"/>
      </rPr>
      <t xml:space="preserve">외할아버지 발칸</t>
    </r>
    <r>
      <rPr>
        <b val="true"/>
        <sz val="13"/>
        <rFont val="Arial"/>
        <family val="0"/>
        <charset val="1"/>
      </rPr>
      <t xml:space="preserve">·</t>
    </r>
    <r>
      <rPr>
        <b val="true"/>
        <sz val="13"/>
        <rFont val="Noto Sans CJK SC"/>
        <family val="2"/>
      </rPr>
      <t xml:space="preserve">알프스 </t>
    </r>
    <r>
      <rPr>
        <b val="true"/>
        <sz val="13"/>
        <rFont val="Arial"/>
        <family val="0"/>
        <charset val="1"/>
      </rPr>
      <t xml:space="preserve">(5/23~6/16)</t>
    </r>
  </si>
  <si>
    <r>
      <rPr>
        <b val="true"/>
        <sz val="11"/>
        <color rgb="FF1B4F72"/>
        <rFont val="Noto Sans CJK SC"/>
        <family val="2"/>
      </rPr>
      <t xml:space="preserve">① 현장 경비 </t>
    </r>
    <r>
      <rPr>
        <b val="true"/>
        <sz val="11"/>
        <color rgb="FF1B4F72"/>
        <rFont val="Arial"/>
        <family val="0"/>
        <charset val="1"/>
      </rPr>
      <t xml:space="preserve">(</t>
    </r>
    <r>
      <rPr>
        <b val="true"/>
        <sz val="11"/>
        <color rgb="FF1B4F72"/>
        <rFont val="Noto Sans CJK SC"/>
        <family val="2"/>
      </rPr>
      <t xml:space="preserve">여행경비 계좌</t>
    </r>
    <r>
      <rPr>
        <b val="true"/>
        <sz val="11"/>
        <color rgb="FF1B4F72"/>
        <rFont val="Arial"/>
        <family val="0"/>
        <charset val="1"/>
      </rPr>
      <t xml:space="preserve">, EUR)</t>
    </r>
  </si>
  <si>
    <t xml:space="preserve">EUR</t>
  </si>
  <si>
    <r>
      <rPr>
        <b val="true"/>
        <sz val="11"/>
        <rFont val="Arial"/>
        <family val="0"/>
        <charset val="1"/>
      </rPr>
      <t xml:space="preserve">KRW(</t>
    </r>
    <r>
      <rPr>
        <b val="true"/>
        <sz val="11"/>
        <rFont val="Noto Sans CJK SC"/>
        <family val="2"/>
      </rPr>
      <t xml:space="preserve">환전</t>
    </r>
    <r>
      <rPr>
        <b val="true"/>
        <sz val="11"/>
        <rFont val="Arial"/>
        <family val="0"/>
        <charset val="1"/>
      </rPr>
      <t xml:space="preserve">)</t>
    </r>
  </si>
  <si>
    <r>
      <rPr>
        <sz val="11"/>
        <rFont val="Arial"/>
        <family val="0"/>
        <charset val="1"/>
      </rPr>
      <t xml:space="preserve">5/23 </t>
    </r>
    <r>
      <rPr>
        <sz val="11"/>
        <rFont val="Noto Sans CJK SC"/>
        <family val="2"/>
      </rPr>
      <t xml:space="preserve">충전</t>
    </r>
  </si>
  <si>
    <r>
      <rPr>
        <sz val="11"/>
        <rFont val="Arial"/>
        <family val="0"/>
        <charset val="1"/>
      </rPr>
      <t xml:space="preserve">6/1 </t>
    </r>
    <r>
      <rPr>
        <sz val="11"/>
        <rFont val="Noto Sans CJK SC"/>
        <family val="2"/>
      </rPr>
      <t xml:space="preserve">충전</t>
    </r>
  </si>
  <si>
    <r>
      <rPr>
        <sz val="11"/>
        <rFont val="Arial"/>
        <family val="0"/>
        <charset val="1"/>
      </rPr>
      <t xml:space="preserve">6/8 </t>
    </r>
    <r>
      <rPr>
        <sz val="11"/>
        <rFont val="Noto Sans CJK SC"/>
        <family val="2"/>
      </rPr>
      <t xml:space="preserve">충전</t>
    </r>
  </si>
  <si>
    <r>
      <rPr>
        <sz val="11"/>
        <rFont val="Arial"/>
        <family val="0"/>
        <charset val="1"/>
      </rPr>
      <t xml:space="preserve">6/13 </t>
    </r>
    <r>
      <rPr>
        <sz val="11"/>
        <rFont val="Noto Sans CJK SC"/>
        <family val="2"/>
      </rPr>
      <t xml:space="preserve">충전</t>
    </r>
  </si>
  <si>
    <t xml:space="preserve">환전 합계</t>
  </si>
  <si>
    <r>
      <rPr>
        <sz val="11"/>
        <rFont val="Noto Sans CJK SC"/>
        <family val="2"/>
      </rPr>
      <t xml:space="preserve">총 지출 </t>
    </r>
    <r>
      <rPr>
        <sz val="11"/>
        <rFont val="Arial"/>
        <family val="0"/>
        <charset val="1"/>
      </rPr>
      <t xml:space="preserve">(124</t>
    </r>
    <r>
      <rPr>
        <sz val="11"/>
        <rFont val="Noto Sans CJK SC"/>
        <family val="2"/>
      </rPr>
      <t xml:space="preserve">건</t>
    </r>
    <r>
      <rPr>
        <sz val="11"/>
        <rFont val="Arial"/>
        <family val="0"/>
        <charset val="1"/>
      </rPr>
      <t xml:space="preserve">)</t>
    </r>
  </si>
  <si>
    <r>
      <rPr>
        <b val="true"/>
        <sz val="11"/>
        <rFont val="Noto Sans CJK SC"/>
        <family val="2"/>
      </rPr>
      <t xml:space="preserve">최종 잔액 </t>
    </r>
    <r>
      <rPr>
        <b val="true"/>
        <sz val="11"/>
        <rFont val="Arial"/>
        <family val="0"/>
        <charset val="1"/>
      </rPr>
      <t xml:space="preserve">(€6,250 − </t>
    </r>
    <r>
      <rPr>
        <b val="true"/>
        <sz val="11"/>
        <rFont val="Noto Sans CJK SC"/>
        <family val="2"/>
      </rPr>
      <t xml:space="preserve">지출</t>
    </r>
    <r>
      <rPr>
        <b val="true"/>
        <sz val="11"/>
        <rFont val="Arial"/>
        <family val="0"/>
        <charset val="1"/>
      </rPr>
      <t xml:space="preserve">)</t>
    </r>
  </si>
  <si>
    <r>
      <rPr>
        <b val="true"/>
        <sz val="11"/>
        <color rgb="FF1B4F72"/>
        <rFont val="Noto Sans CJK SC"/>
        <family val="2"/>
      </rPr>
      <t xml:space="preserve">② 전체 원화 지출 </t>
    </r>
    <r>
      <rPr>
        <b val="true"/>
        <sz val="11"/>
        <color rgb="FF1B4F72"/>
        <rFont val="Arial"/>
        <family val="0"/>
        <charset val="1"/>
      </rPr>
      <t xml:space="preserve">(</t>
    </r>
    <r>
      <rPr>
        <b val="true"/>
        <sz val="11"/>
        <color rgb="FF1B4F72"/>
        <rFont val="Noto Sans CJK SC"/>
        <family val="2"/>
      </rPr>
      <t xml:space="preserve">원화 직접결제 </t>
    </r>
    <r>
      <rPr>
        <b val="true"/>
        <sz val="11"/>
        <color rgb="FF1B4F72"/>
        <rFont val="Arial"/>
        <family val="0"/>
        <charset val="1"/>
      </rPr>
      <t xml:space="preserve">+ </t>
    </r>
    <r>
      <rPr>
        <b val="true"/>
        <sz val="11"/>
        <color rgb="FF1B4F72"/>
        <rFont val="Noto Sans CJK SC"/>
        <family val="2"/>
      </rPr>
      <t xml:space="preserve">환전</t>
    </r>
    <r>
      <rPr>
        <b val="true"/>
        <sz val="11"/>
        <color rgb="FF1B4F72"/>
        <rFont val="Arial"/>
        <family val="0"/>
        <charset val="1"/>
      </rPr>
      <t xml:space="preserve">)</t>
    </r>
  </si>
  <si>
    <r>
      <rPr>
        <sz val="11"/>
        <rFont val="Noto Sans CJK SC"/>
        <family val="2"/>
      </rPr>
      <t xml:space="preserve">신한카드 직접결제 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아시아나</t>
    </r>
    <r>
      <rPr>
        <sz val="11"/>
        <rFont val="Arial"/>
        <family val="0"/>
        <charset val="1"/>
      </rPr>
      <t xml:space="preserve">)</t>
    </r>
  </si>
  <si>
    <r>
      <rPr>
        <sz val="11"/>
        <rFont val="Noto Sans CJK SC"/>
        <family val="2"/>
      </rPr>
      <t xml:space="preserve">항공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숙소 환전 </t>
    </r>
    <r>
      <rPr>
        <sz val="11"/>
        <rFont val="Arial"/>
        <family val="0"/>
        <charset val="1"/>
      </rPr>
      <t xml:space="preserve">(€3,594)</t>
    </r>
  </si>
  <si>
    <r>
      <rPr>
        <sz val="11"/>
        <rFont val="Noto Sans CJK SC"/>
        <family val="2"/>
      </rPr>
      <t xml:space="preserve">현장 경비 환전 </t>
    </r>
    <r>
      <rPr>
        <sz val="11"/>
        <rFont val="Arial"/>
        <family val="0"/>
        <charset val="1"/>
      </rPr>
      <t xml:space="preserve">(€6,250)</t>
    </r>
  </si>
  <si>
    <t xml:space="preserve">전체 원화 지출 합계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</si>
</sst>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\€#,##0.00"/>
    <numFmt numFmtId="166" formatCode="0.0%"/>
    <numFmt numFmtId="167" formatCode="#,##0\원"/>
  </numFmts>
  <fonts count="2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Noto Sans CJK SC"/>
      <family val="2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sz val="11"/>
      <name val="Noto Sans CJK SC"/>
      <family val="2"/>
    </font>
    <font>
      <b val="true"/>
      <sz val="11"/>
      <name val="Noto Sans CJK SC"/>
      <family val="2"/>
    </font>
    <font>
      <b val="true"/>
      <sz val="11"/>
      <color rgb="FFB03A2E"/>
      <name val="Arial"/>
      <family val="0"/>
      <charset val="1"/>
    </font>
    <font>
      <b val="true"/>
      <sz val="11"/>
      <color rgb="FF1A6B3C"/>
      <name val="Noto Sans CJK SC"/>
      <family val="2"/>
    </font>
    <font>
      <b val="true"/>
      <sz val="11"/>
      <color rgb="FF1B4F72"/>
      <name val="Noto Sans CJK SC"/>
      <family val="2"/>
    </font>
    <font>
      <b val="true"/>
      <sz val="11"/>
      <color rgb="FF1B4F72"/>
      <name val="Arial"/>
      <family val="0"/>
      <charset val="1"/>
    </font>
    <font>
      <b val="true"/>
      <sz val="11"/>
      <color rgb="FF6B3FA0"/>
      <name val="Noto Sans CJK SC"/>
      <family val="2"/>
    </font>
    <font>
      <b val="true"/>
      <sz val="11"/>
      <color rgb="FF6B3FA0"/>
      <name val="Arial"/>
      <family val="0"/>
      <charset val="1"/>
    </font>
    <font>
      <b val="true"/>
      <sz val="11"/>
      <color rgb="FFB03A2E"/>
      <name val="Noto Sans CJK SC"/>
      <family val="2"/>
    </font>
    <font>
      <b val="true"/>
      <sz val="11"/>
      <color rgb="FFC0622D"/>
      <name val="Noto Sans CJK SC"/>
      <family val="2"/>
    </font>
    <font>
      <b val="true"/>
      <sz val="11"/>
      <color rgb="FF7A7A7A"/>
      <name val="Noto Sans CJK SC"/>
      <family val="2"/>
    </font>
    <font>
      <b val="true"/>
      <sz val="11"/>
      <name val="Arial"/>
      <family val="0"/>
      <charset val="1"/>
    </font>
    <font>
      <b val="true"/>
      <sz val="18"/>
      <color rgb="FF000000"/>
      <name val="Noto Sans CJK SC"/>
      <family val="2"/>
    </font>
    <font>
      <sz val="10"/>
      <color rgb="FF000000"/>
      <name val="Calibri"/>
      <family val="2"/>
    </font>
    <font>
      <b val="true"/>
      <sz val="18"/>
      <color rgb="FF000000"/>
      <name val="Calibri"/>
      <family val="2"/>
    </font>
    <font>
      <b val="true"/>
      <sz val="13"/>
      <name val="Noto Sans CJK SC"/>
      <family val="2"/>
    </font>
    <font>
      <b val="true"/>
      <sz val="13"/>
      <name val="Arial"/>
      <family val="0"/>
      <charset val="1"/>
    </font>
    <font>
      <sz val="11"/>
      <color rgb="FFB03A2E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2C3E50"/>
        <bgColor rgb="FF1B4F72"/>
      </patternFill>
    </fill>
    <fill>
      <patternFill patternType="solid">
        <fgColor rgb="FFF3EFE6"/>
        <bgColor rgb="FFEAF1F6"/>
      </patternFill>
    </fill>
    <fill>
      <patternFill patternType="solid">
        <fgColor rgb="FFEAF1F6"/>
        <bgColor rgb="FFF3EFE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2C5"/>
      </left>
      <right style="thin">
        <color rgb="FFD9D2C5"/>
      </right>
      <top style="thin">
        <color rgb="FFD9D2C5"/>
      </top>
      <bottom style="thin">
        <color rgb="FFD9D2C5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8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8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18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9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3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A6B3C"/>
      <rgbColor rgb="FF000080"/>
      <rgbColor rgb="FF808000"/>
      <rgbColor rgb="FF800080"/>
      <rgbColor rgb="FF008080"/>
      <rgbColor rgb="FFD9D2C5"/>
      <rgbColor rgb="FF7A7A7A"/>
      <rgbColor rgb="FF9999FF"/>
      <rgbColor rgb="FFC0504D"/>
      <rgbColor rgb="FFF3EFE6"/>
      <rgbColor rgb="FFEAF1F6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F81BD"/>
      <rgbColor rgb="FF4BACC6"/>
      <rgbColor rgb="FF9BBB59"/>
      <rgbColor rgb="FFFFCC00"/>
      <rgbColor rgb="FFF79646"/>
      <rgbColor rgb="FFC0622D"/>
      <rgbColor rgb="FF8064A2"/>
      <rgbColor rgb="FF878787"/>
      <rgbColor rgb="FF1B4F72"/>
      <rgbColor rgb="FF339966"/>
      <rgbColor rgb="FF003300"/>
      <rgbColor rgb="FF333300"/>
      <rgbColor rgb="FFB03A2E"/>
      <rgbColor rgb="FF993366"/>
      <rgbColor rgb="FF6B3FA0"/>
      <rgbColor rgb="FF2C3E5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_rels/chart2.xml.rels><?xml version="1.0" encoding="UTF-8"?>
<Relationships xmlns="http://schemas.openxmlformats.org/package/2006/relationships"><Relationship Id="rId1" Type="http://schemas.microsoft.com/office/2011/relationships/chartStyle" Target="style2.xml"/><Relationship Id="rId2" Type="http://schemas.microsoft.com/office/2011/relationships/chartColorStyle" Target="colors2.xml"/>
</Relationships>
</file>

<file path=xl/charts/_rels/chart3.xml.rels><?xml version="1.0" encoding="UTF-8"?>
<Relationships xmlns="http://schemas.openxmlformats.org/package/2006/relationships"><Relationship Id="rId1" Type="http://schemas.microsoft.com/office/2011/relationships/chartStyle" Target="style3.xml"/><Relationship Id="rId2" Type="http://schemas.microsoft.com/office/2011/relationships/chartColorStyle" Target="colors3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카테고리별 지출 비중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'카테고리 요약'!C1</c:f>
              <c:strCache>
                <c:ptCount val="1"/>
                <c:pt idx="0">
                  <c:v>합계 (EUR)</c:v>
                </c:pt>
              </c:strCache>
            </c:strRef>
          </c:tx>
          <c:spPr>
            <a:solidFill>
              <a:srgbClr val="4F81BD"/>
            </a:solidFill>
            <a:ln w="1260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1260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12600">
                <a:noFill/>
              </a:ln>
            </c:spPr>
          </c:dPt>
          <c:dPt>
            <c:idx val="2"/>
            <c:spPr>
              <a:solidFill>
                <a:srgbClr val="9BBB59"/>
              </a:solidFill>
              <a:ln w="12600">
                <a:noFill/>
              </a:ln>
            </c:spPr>
          </c:dPt>
          <c:dPt>
            <c:idx val="3"/>
            <c:spPr>
              <a:solidFill>
                <a:srgbClr val="8064A2"/>
              </a:solidFill>
              <a:ln w="12600">
                <a:noFill/>
              </a:ln>
            </c:spPr>
          </c:dPt>
          <c:dPt>
            <c:idx val="4"/>
            <c:spPr>
              <a:solidFill>
                <a:srgbClr val="4BACC6"/>
              </a:solidFill>
              <a:ln w="12600">
                <a:noFill/>
              </a:ln>
            </c:spPr>
          </c:dPt>
          <c:dPt>
            <c:idx val="5"/>
            <c:spPr>
              <a:solidFill>
                <a:srgbClr val="F79646"/>
              </a:solidFill>
              <a:ln w="12600">
                <a:noFill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3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4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5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</c:dLbls>
          <c:cat>
            <c:strRef>
              <c:f>'카테고리 요약'!$A$2:$A$7</c:f>
              <c:strCache>
                <c:ptCount val="6"/>
                <c:pt idx="0">
                  <c:v>식비</c:v>
                </c:pt>
                <c:pt idx="1">
                  <c:v>교통·주차</c:v>
                </c:pt>
                <c:pt idx="2">
                  <c:v>관광·입장</c:v>
                </c:pt>
                <c:pt idx="3">
                  <c:v>렌터카</c:v>
                </c:pt>
                <c:pt idx="4">
                  <c:v>쇼핑</c:v>
                </c:pt>
                <c:pt idx="5">
                  <c:v>기타</c:v>
                </c:pt>
              </c:strCache>
            </c:strRef>
          </c:cat>
          <c:val>
            <c:numRef>
              <c:f>'카테고리 요약'!$C$2:$C$7</c:f>
              <c:numCache>
                <c:formatCode>\€#,##0.00</c:formatCode>
                <c:ptCount val="6"/>
                <c:pt idx="0">
                  <c:v>1977.01</c:v>
                </c:pt>
                <c:pt idx="1">
                  <c:v>1258.37</c:v>
                </c:pt>
                <c:pt idx="2">
                  <c:v>869.9</c:v>
                </c:pt>
                <c:pt idx="3">
                  <c:v>1717.88</c:v>
                </c:pt>
                <c:pt idx="4">
                  <c:v>127.41</c:v>
                </c:pt>
                <c:pt idx="5">
                  <c:v>366.71</c:v>
                </c:pt>
              </c:numCache>
            </c:numRef>
          </c:val>
        </c:ser>
        <c:firstSliceAng val="0"/>
      </c:pieChart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카테고리별 지출액 (EUR)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'카테고리 요약'!C1</c:f>
              <c:strCache>
                <c:ptCount val="1"/>
                <c:pt idx="0">
                  <c:v>합계 (EUR)</c:v>
                </c:pt>
              </c:strCache>
            </c:strRef>
          </c:tx>
          <c:spPr>
            <a:solidFill>
              <a:srgbClr val="4F81BD"/>
            </a:solidFill>
            <a:ln w="1260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'카테고리 요약'!$A$2:$A$7</c:f>
              <c:strCache>
                <c:ptCount val="6"/>
                <c:pt idx="0">
                  <c:v>식비</c:v>
                </c:pt>
                <c:pt idx="1">
                  <c:v>교통·주차</c:v>
                </c:pt>
                <c:pt idx="2">
                  <c:v>관광·입장</c:v>
                </c:pt>
                <c:pt idx="3">
                  <c:v>렌터카</c:v>
                </c:pt>
                <c:pt idx="4">
                  <c:v>쇼핑</c:v>
                </c:pt>
                <c:pt idx="5">
                  <c:v>기타</c:v>
                </c:pt>
              </c:strCache>
            </c:strRef>
          </c:cat>
          <c:val>
            <c:numRef>
              <c:f>'카테고리 요약'!$C$2:$C$7</c:f>
              <c:numCache>
                <c:formatCode>\€#,##0.00</c:formatCode>
                <c:ptCount val="6"/>
                <c:pt idx="0">
                  <c:v>1977.01</c:v>
                </c:pt>
                <c:pt idx="1">
                  <c:v>1258.37</c:v>
                </c:pt>
                <c:pt idx="2">
                  <c:v>869.9</c:v>
                </c:pt>
                <c:pt idx="3">
                  <c:v>1717.88</c:v>
                </c:pt>
                <c:pt idx="4">
                  <c:v>127.41</c:v>
                </c:pt>
                <c:pt idx="5">
                  <c:v>366.71</c:v>
                </c:pt>
              </c:numCache>
            </c:numRef>
          </c:val>
        </c:ser>
        <c:gapWidth val="150"/>
        <c:overlap val="0"/>
        <c:axId val="88647077"/>
        <c:axId val="3225194"/>
      </c:barChart>
      <c:catAx>
        <c:axId val="8864707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3225194"/>
        <c:crosses val="autoZero"/>
        <c:auto val="1"/>
        <c:lblAlgn val="ctr"/>
        <c:lblOffset val="100"/>
        <c:noMultiLvlLbl val="0"/>
      </c:catAx>
      <c:valAx>
        <c:axId val="322519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€#,##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88647077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일자별 지출 (EUR)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'일자별 지출'!C1</c:f>
              <c:strCache>
                <c:ptCount val="1"/>
                <c:pt idx="0">
                  <c:v>지출 (EUR)</c:v>
                </c:pt>
              </c:strCache>
            </c:strRef>
          </c:tx>
          <c:spPr>
            <a:solidFill>
              <a:srgbClr val="4F81BD"/>
            </a:solidFill>
            <a:ln w="1260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'일자별 지출'!$A$2:$A$26</c:f>
              <c:strCache>
                <c:ptCount val="25"/>
                <c:pt idx="0">
                  <c:v>5/23</c:v>
                </c:pt>
                <c:pt idx="1">
                  <c:v>5/24</c:v>
                </c:pt>
                <c:pt idx="2">
                  <c:v>5/25</c:v>
                </c:pt>
                <c:pt idx="3">
                  <c:v>5/26</c:v>
                </c:pt>
                <c:pt idx="4">
                  <c:v>5/27</c:v>
                </c:pt>
                <c:pt idx="5">
                  <c:v>5/28</c:v>
                </c:pt>
                <c:pt idx="6">
                  <c:v>5/29</c:v>
                </c:pt>
                <c:pt idx="7">
                  <c:v>5/30</c:v>
                </c:pt>
                <c:pt idx="8">
                  <c:v>5/31</c:v>
                </c:pt>
                <c:pt idx="9">
                  <c:v>6/1</c:v>
                </c:pt>
                <c:pt idx="10">
                  <c:v>6/2</c:v>
                </c:pt>
                <c:pt idx="11">
                  <c:v>6/3</c:v>
                </c:pt>
                <c:pt idx="12">
                  <c:v>6/4</c:v>
                </c:pt>
                <c:pt idx="13">
                  <c:v>6/5</c:v>
                </c:pt>
                <c:pt idx="14">
                  <c:v>6/6</c:v>
                </c:pt>
                <c:pt idx="15">
                  <c:v>6/7</c:v>
                </c:pt>
                <c:pt idx="16">
                  <c:v>6/8</c:v>
                </c:pt>
                <c:pt idx="17">
                  <c:v>6/9</c:v>
                </c:pt>
                <c:pt idx="18">
                  <c:v>6/10</c:v>
                </c:pt>
                <c:pt idx="19">
                  <c:v>6/11</c:v>
                </c:pt>
                <c:pt idx="20">
                  <c:v>6/12</c:v>
                </c:pt>
                <c:pt idx="21">
                  <c:v>6/13</c:v>
                </c:pt>
                <c:pt idx="22">
                  <c:v>6/14</c:v>
                </c:pt>
                <c:pt idx="23">
                  <c:v>6/15</c:v>
                </c:pt>
                <c:pt idx="24">
                  <c:v>6/16</c:v>
                </c:pt>
              </c:strCache>
            </c:strRef>
          </c:cat>
          <c:val>
            <c:numRef>
              <c:f>'일자별 지출'!$C$2:$C$26</c:f>
              <c:numCache>
                <c:formatCode>\€#,##0.00</c:formatCode>
                <c:ptCount val="25"/>
                <c:pt idx="0">
                  <c:v>80</c:v>
                </c:pt>
                <c:pt idx="1">
                  <c:v>87</c:v>
                </c:pt>
                <c:pt idx="2">
                  <c:v>370.6</c:v>
                </c:pt>
                <c:pt idx="3">
                  <c:v>222.5</c:v>
                </c:pt>
                <c:pt idx="4">
                  <c:v>154.65</c:v>
                </c:pt>
                <c:pt idx="5">
                  <c:v>183</c:v>
                </c:pt>
                <c:pt idx="6">
                  <c:v>94.85</c:v>
                </c:pt>
                <c:pt idx="7">
                  <c:v>94.25</c:v>
                </c:pt>
                <c:pt idx="8">
                  <c:v>29.51</c:v>
                </c:pt>
                <c:pt idx="9">
                  <c:v>280.5</c:v>
                </c:pt>
                <c:pt idx="10">
                  <c:v>1891.97</c:v>
                </c:pt>
                <c:pt idx="11">
                  <c:v>366.38</c:v>
                </c:pt>
                <c:pt idx="12">
                  <c:v>64.5</c:v>
                </c:pt>
                <c:pt idx="13">
                  <c:v>66.1</c:v>
                </c:pt>
                <c:pt idx="14">
                  <c:v>295.2</c:v>
                </c:pt>
                <c:pt idx="15">
                  <c:v>153.21</c:v>
                </c:pt>
                <c:pt idx="16">
                  <c:v>106.24</c:v>
                </c:pt>
                <c:pt idx="17">
                  <c:v>170.99</c:v>
                </c:pt>
                <c:pt idx="18">
                  <c:v>508</c:v>
                </c:pt>
                <c:pt idx="19">
                  <c:v>166.95</c:v>
                </c:pt>
                <c:pt idx="20">
                  <c:v>148.26</c:v>
                </c:pt>
                <c:pt idx="21">
                  <c:v>167.75</c:v>
                </c:pt>
                <c:pt idx="22">
                  <c:v>113.3</c:v>
                </c:pt>
                <c:pt idx="23">
                  <c:v>245.66</c:v>
                </c:pt>
                <c:pt idx="24">
                  <c:v>255.91</c:v>
                </c:pt>
              </c:numCache>
            </c:numRef>
          </c:val>
        </c:ser>
        <c:gapWidth val="150"/>
        <c:overlap val="0"/>
        <c:axId val="342947"/>
        <c:axId val="67440739"/>
      </c:barChart>
      <c:catAx>
        <c:axId val="3429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67440739"/>
        <c:crosses val="autoZero"/>
        <c:auto val="1"/>
        <c:lblAlgn val="ctr"/>
        <c:lblOffset val="100"/>
        <c:noMultiLvlLbl val="0"/>
      </c:catAx>
      <c:valAx>
        <c:axId val="6744073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€#,##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342947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2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3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1</xdr:row>
      <xdr:rowOff>0</xdr:rowOff>
    </xdr:from>
    <xdr:to>
      <xdr:col>12</xdr:col>
      <xdr:colOff>38880</xdr:colOff>
      <xdr:row>15</xdr:row>
      <xdr:rowOff>158040</xdr:rowOff>
    </xdr:to>
    <xdr:graphicFrame>
      <xdr:nvGraphicFramePr>
        <xdr:cNvPr id="1" name="Chart 1"/>
        <xdr:cNvGraphicFramePr/>
      </xdr:nvGraphicFramePr>
      <xdr:xfrm>
        <a:off x="3712680" y="217800"/>
        <a:ext cx="431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0</xdr:colOff>
      <xdr:row>17</xdr:row>
      <xdr:rowOff>0</xdr:rowOff>
    </xdr:from>
    <xdr:to>
      <xdr:col>12</xdr:col>
      <xdr:colOff>38880</xdr:colOff>
      <xdr:row>32</xdr:row>
      <xdr:rowOff>21960</xdr:rowOff>
    </xdr:to>
    <xdr:graphicFrame>
      <xdr:nvGraphicFramePr>
        <xdr:cNvPr id="2" name="Chart 2"/>
        <xdr:cNvGraphicFramePr/>
      </xdr:nvGraphicFramePr>
      <xdr:xfrm>
        <a:off x="3712680" y="3320280"/>
        <a:ext cx="431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0</xdr:colOff>
      <xdr:row>1</xdr:row>
      <xdr:rowOff>0</xdr:rowOff>
    </xdr:from>
    <xdr:to>
      <xdr:col>16</xdr:col>
      <xdr:colOff>581760</xdr:colOff>
      <xdr:row>17</xdr:row>
      <xdr:rowOff>27720</xdr:rowOff>
    </xdr:to>
    <xdr:graphicFrame>
      <xdr:nvGraphicFramePr>
        <xdr:cNvPr id="3" name="Chart 1"/>
        <xdr:cNvGraphicFramePr/>
      </xdr:nvGraphicFramePr>
      <xdr:xfrm>
        <a:off x="3008160" y="217800"/>
        <a:ext cx="791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2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4"/>
    <col collapsed="false" customWidth="true" hidden="false" outlineLevel="0" max="4" min="3" style="0" width="12"/>
    <col collapsed="false" customWidth="true" hidden="false" outlineLevel="0" max="5" min="5" style="0" width="14"/>
  </cols>
  <sheetData>
    <row r="1" customFormat="false" ht="17.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7.15" hidden="false" customHeight="false" outlineLevel="0" collapsed="false">
      <c r="A2" s="2" t="s">
        <v>5</v>
      </c>
      <c r="B2" s="2" t="s">
        <v>6</v>
      </c>
      <c r="C2" s="3" t="s">
        <v>7</v>
      </c>
      <c r="D2" s="3" t="s">
        <v>8</v>
      </c>
      <c r="E2" s="4" t="n">
        <v>40</v>
      </c>
    </row>
    <row r="3" customFormat="false" ht="15" hidden="false" customHeight="false" outlineLevel="0" collapsed="false">
      <c r="A3" s="2" t="s">
        <v>5</v>
      </c>
      <c r="B3" s="5" t="s">
        <v>9</v>
      </c>
      <c r="C3" s="3" t="s">
        <v>7</v>
      </c>
      <c r="D3" s="3" t="s">
        <v>10</v>
      </c>
      <c r="E3" s="4" t="n">
        <v>10</v>
      </c>
    </row>
    <row r="4" customFormat="false" ht="15" hidden="false" customHeight="false" outlineLevel="0" collapsed="false">
      <c r="A4" s="2" t="s">
        <v>5</v>
      </c>
      <c r="B4" s="5" t="s">
        <v>9</v>
      </c>
      <c r="C4" s="3" t="s">
        <v>7</v>
      </c>
      <c r="D4" s="3" t="s">
        <v>10</v>
      </c>
      <c r="E4" s="4" t="n">
        <v>30</v>
      </c>
    </row>
    <row r="5" customFormat="false" ht="17.15" hidden="false" customHeight="false" outlineLevel="0" collapsed="false">
      <c r="A5" s="2" t="s">
        <v>11</v>
      </c>
      <c r="B5" s="2" t="s">
        <v>12</v>
      </c>
      <c r="C5" s="3" t="s">
        <v>7</v>
      </c>
      <c r="D5" s="3" t="s">
        <v>10</v>
      </c>
      <c r="E5" s="4" t="n">
        <v>87</v>
      </c>
    </row>
    <row r="6" customFormat="false" ht="17.15" hidden="false" customHeight="false" outlineLevel="0" collapsed="false">
      <c r="A6" s="2" t="s">
        <v>13</v>
      </c>
      <c r="B6" s="2" t="s">
        <v>14</v>
      </c>
      <c r="C6" s="3" t="s">
        <v>7</v>
      </c>
      <c r="D6" s="3" t="s">
        <v>15</v>
      </c>
      <c r="E6" s="4" t="n">
        <v>142.6</v>
      </c>
    </row>
    <row r="7" customFormat="false" ht="17.15" hidden="false" customHeight="false" outlineLevel="0" collapsed="false">
      <c r="A7" s="2" t="s">
        <v>13</v>
      </c>
      <c r="B7" s="2" t="s">
        <v>16</v>
      </c>
      <c r="C7" s="3" t="s">
        <v>7</v>
      </c>
      <c r="D7" s="3" t="s">
        <v>15</v>
      </c>
      <c r="E7" s="4" t="n">
        <v>95</v>
      </c>
    </row>
    <row r="8" customFormat="false" ht="17.15" hidden="false" customHeight="false" outlineLevel="0" collapsed="false">
      <c r="A8" s="2" t="s">
        <v>13</v>
      </c>
      <c r="B8" s="5" t="s">
        <v>17</v>
      </c>
      <c r="C8" s="3" t="s">
        <v>7</v>
      </c>
      <c r="D8" s="3" t="s">
        <v>8</v>
      </c>
      <c r="E8" s="4" t="n">
        <v>50</v>
      </c>
    </row>
    <row r="9" customFormat="false" ht="17.15" hidden="false" customHeight="false" outlineLevel="0" collapsed="false">
      <c r="A9" s="2" t="s">
        <v>13</v>
      </c>
      <c r="B9" s="5" t="s">
        <v>18</v>
      </c>
      <c r="C9" s="3" t="s">
        <v>7</v>
      </c>
      <c r="D9" s="3" t="s">
        <v>8</v>
      </c>
      <c r="E9" s="4" t="n">
        <v>83</v>
      </c>
    </row>
    <row r="10" customFormat="false" ht="17.15" hidden="false" customHeight="false" outlineLevel="0" collapsed="false">
      <c r="A10" s="2" t="s">
        <v>19</v>
      </c>
      <c r="B10" s="5" t="s">
        <v>18</v>
      </c>
      <c r="C10" s="3" t="s">
        <v>7</v>
      </c>
      <c r="D10" s="3" t="s">
        <v>8</v>
      </c>
      <c r="E10" s="4" t="n">
        <v>20</v>
      </c>
    </row>
    <row r="11" customFormat="false" ht="15" hidden="false" customHeight="false" outlineLevel="0" collapsed="false">
      <c r="A11" s="2" t="s">
        <v>19</v>
      </c>
      <c r="B11" s="5" t="s">
        <v>20</v>
      </c>
      <c r="C11" s="3" t="s">
        <v>7</v>
      </c>
      <c r="D11" s="3" t="s">
        <v>15</v>
      </c>
      <c r="E11" s="4" t="n">
        <v>22.5</v>
      </c>
    </row>
    <row r="12" customFormat="false" ht="17.15" hidden="false" customHeight="false" outlineLevel="0" collapsed="false">
      <c r="A12" s="2" t="s">
        <v>19</v>
      </c>
      <c r="B12" s="5" t="s">
        <v>21</v>
      </c>
      <c r="C12" s="3" t="s">
        <v>7</v>
      </c>
      <c r="D12" s="3" t="s">
        <v>8</v>
      </c>
      <c r="E12" s="4" t="n">
        <v>180</v>
      </c>
    </row>
    <row r="13" customFormat="false" ht="17.15" hidden="false" customHeight="false" outlineLevel="0" collapsed="false">
      <c r="A13" s="2" t="s">
        <v>22</v>
      </c>
      <c r="B13" s="2" t="s">
        <v>23</v>
      </c>
      <c r="C13" s="3" t="s">
        <v>7</v>
      </c>
      <c r="D13" s="3" t="s">
        <v>15</v>
      </c>
      <c r="E13" s="4" t="n">
        <v>127.5</v>
      </c>
    </row>
    <row r="14" customFormat="false" ht="15" hidden="false" customHeight="false" outlineLevel="0" collapsed="false">
      <c r="A14" s="2" t="s">
        <v>22</v>
      </c>
      <c r="B14" s="2" t="s">
        <v>24</v>
      </c>
      <c r="C14" s="3" t="s">
        <v>7</v>
      </c>
      <c r="D14" s="3" t="s">
        <v>15</v>
      </c>
      <c r="E14" s="4" t="n">
        <v>27.15</v>
      </c>
    </row>
    <row r="15" customFormat="false" ht="15" hidden="false" customHeight="false" outlineLevel="0" collapsed="false">
      <c r="A15" s="2" t="s">
        <v>25</v>
      </c>
      <c r="B15" s="5" t="s">
        <v>26</v>
      </c>
      <c r="C15" s="3" t="s">
        <v>7</v>
      </c>
      <c r="D15" s="3" t="s">
        <v>15</v>
      </c>
      <c r="E15" s="4" t="n">
        <v>6</v>
      </c>
    </row>
    <row r="16" customFormat="false" ht="17.15" hidden="false" customHeight="false" outlineLevel="0" collapsed="false">
      <c r="A16" s="2" t="s">
        <v>25</v>
      </c>
      <c r="B16" s="5" t="s">
        <v>27</v>
      </c>
      <c r="C16" s="3" t="s">
        <v>7</v>
      </c>
      <c r="D16" s="3" t="s">
        <v>8</v>
      </c>
      <c r="E16" s="4" t="n">
        <v>52</v>
      </c>
    </row>
    <row r="17" customFormat="false" ht="15" hidden="false" customHeight="false" outlineLevel="0" collapsed="false">
      <c r="A17" s="2" t="s">
        <v>25</v>
      </c>
      <c r="B17" s="2" t="s">
        <v>28</v>
      </c>
      <c r="C17" s="3" t="s">
        <v>7</v>
      </c>
      <c r="D17" s="3" t="s">
        <v>15</v>
      </c>
      <c r="E17" s="4" t="n">
        <v>63.5</v>
      </c>
    </row>
    <row r="18" customFormat="false" ht="17.15" hidden="false" customHeight="false" outlineLevel="0" collapsed="false">
      <c r="A18" s="2" t="s">
        <v>25</v>
      </c>
      <c r="B18" s="5" t="s">
        <v>18</v>
      </c>
      <c r="C18" s="3" t="s">
        <v>7</v>
      </c>
      <c r="D18" s="3" t="s">
        <v>8</v>
      </c>
      <c r="E18" s="4" t="n">
        <v>6</v>
      </c>
    </row>
    <row r="19" customFormat="false" ht="15" hidden="false" customHeight="false" outlineLevel="0" collapsed="false">
      <c r="A19" s="2" t="s">
        <v>25</v>
      </c>
      <c r="B19" s="2" t="s">
        <v>29</v>
      </c>
      <c r="C19" s="3" t="s">
        <v>7</v>
      </c>
      <c r="D19" s="3" t="s">
        <v>15</v>
      </c>
      <c r="E19" s="4" t="n">
        <v>55.5</v>
      </c>
    </row>
    <row r="20" customFormat="false" ht="15" hidden="false" customHeight="false" outlineLevel="0" collapsed="false">
      <c r="A20" s="2" t="s">
        <v>30</v>
      </c>
      <c r="B20" s="2" t="s">
        <v>31</v>
      </c>
      <c r="C20" s="3" t="s">
        <v>7</v>
      </c>
      <c r="D20" s="3" t="s">
        <v>15</v>
      </c>
      <c r="E20" s="4" t="n">
        <v>68.85</v>
      </c>
    </row>
    <row r="21" customFormat="false" ht="17.15" hidden="false" customHeight="false" outlineLevel="0" collapsed="false">
      <c r="A21" s="2" t="s">
        <v>30</v>
      </c>
      <c r="B21" s="2" t="s">
        <v>32</v>
      </c>
      <c r="C21" s="3" t="s">
        <v>7</v>
      </c>
      <c r="D21" s="3" t="s">
        <v>15</v>
      </c>
      <c r="E21" s="4" t="n">
        <v>26</v>
      </c>
    </row>
    <row r="22" customFormat="false" ht="15" hidden="false" customHeight="false" outlineLevel="0" collapsed="false">
      <c r="A22" s="2" t="s">
        <v>33</v>
      </c>
      <c r="B22" s="5" t="s">
        <v>34</v>
      </c>
      <c r="C22" s="3" t="s">
        <v>7</v>
      </c>
      <c r="D22" s="3" t="s">
        <v>15</v>
      </c>
      <c r="E22" s="4" t="n">
        <v>48.25</v>
      </c>
    </row>
    <row r="23" customFormat="false" ht="17.15" hidden="false" customHeight="false" outlineLevel="0" collapsed="false">
      <c r="A23" s="2" t="s">
        <v>33</v>
      </c>
      <c r="B23" s="5" t="s">
        <v>27</v>
      </c>
      <c r="C23" s="3" t="s">
        <v>7</v>
      </c>
      <c r="D23" s="3" t="s">
        <v>8</v>
      </c>
      <c r="E23" s="4" t="n">
        <v>46</v>
      </c>
    </row>
    <row r="24" customFormat="false" ht="15" hidden="false" customHeight="false" outlineLevel="0" collapsed="false">
      <c r="A24" s="2" t="s">
        <v>35</v>
      </c>
      <c r="B24" s="5" t="s">
        <v>36</v>
      </c>
      <c r="C24" s="3" t="s">
        <v>7</v>
      </c>
      <c r="D24" s="3" t="s">
        <v>15</v>
      </c>
      <c r="E24" s="4" t="n">
        <v>23.22</v>
      </c>
    </row>
    <row r="25" customFormat="false" ht="17.15" hidden="false" customHeight="false" outlineLevel="0" collapsed="false">
      <c r="A25" s="2" t="s">
        <v>35</v>
      </c>
      <c r="B25" s="2" t="s">
        <v>37</v>
      </c>
      <c r="C25" s="3" t="s">
        <v>7</v>
      </c>
      <c r="D25" s="3" t="s">
        <v>15</v>
      </c>
      <c r="E25" s="4" t="n">
        <v>6.29</v>
      </c>
    </row>
    <row r="26" customFormat="false" ht="15" hidden="false" customHeight="false" outlineLevel="0" collapsed="false">
      <c r="A26" s="2" t="s">
        <v>38</v>
      </c>
      <c r="B26" s="5" t="s">
        <v>39</v>
      </c>
      <c r="C26" s="3" t="s">
        <v>7</v>
      </c>
      <c r="D26" s="3" t="s">
        <v>10</v>
      </c>
      <c r="E26" s="4" t="n">
        <v>29.5</v>
      </c>
    </row>
    <row r="27" customFormat="false" ht="17.15" hidden="false" customHeight="false" outlineLevel="0" collapsed="false">
      <c r="A27" s="2" t="s">
        <v>38</v>
      </c>
      <c r="B27" s="5" t="s">
        <v>40</v>
      </c>
      <c r="C27" s="3" t="s">
        <v>7</v>
      </c>
      <c r="D27" s="3" t="s">
        <v>41</v>
      </c>
      <c r="E27" s="4" t="n">
        <v>160</v>
      </c>
    </row>
    <row r="28" customFormat="false" ht="17.15" hidden="false" customHeight="false" outlineLevel="0" collapsed="false">
      <c r="A28" s="2" t="s">
        <v>38</v>
      </c>
      <c r="B28" s="2" t="s">
        <v>42</v>
      </c>
      <c r="C28" s="3" t="s">
        <v>7</v>
      </c>
      <c r="D28" s="3" t="s">
        <v>10</v>
      </c>
      <c r="E28" s="4" t="n">
        <v>91</v>
      </c>
    </row>
    <row r="29" customFormat="false" ht="17.15" hidden="false" customHeight="false" outlineLevel="0" collapsed="false">
      <c r="A29" s="2" t="s">
        <v>43</v>
      </c>
      <c r="B29" s="2" t="s">
        <v>44</v>
      </c>
      <c r="C29" s="3" t="s">
        <v>45</v>
      </c>
      <c r="D29" s="3" t="s">
        <v>46</v>
      </c>
      <c r="E29" s="4" t="n">
        <v>0.88</v>
      </c>
    </row>
    <row r="30" customFormat="false" ht="17.15" hidden="false" customHeight="false" outlineLevel="0" collapsed="false">
      <c r="A30" s="2" t="s">
        <v>43</v>
      </c>
      <c r="B30" s="2" t="s">
        <v>47</v>
      </c>
      <c r="C30" s="3" t="s">
        <v>45</v>
      </c>
      <c r="D30" s="3" t="s">
        <v>46</v>
      </c>
      <c r="E30" s="4" t="n">
        <v>1717</v>
      </c>
    </row>
    <row r="31" customFormat="false" ht="17.15" hidden="false" customHeight="false" outlineLevel="0" collapsed="false">
      <c r="A31" s="2" t="s">
        <v>43</v>
      </c>
      <c r="B31" s="5" t="s">
        <v>48</v>
      </c>
      <c r="C31" s="3" t="s">
        <v>45</v>
      </c>
      <c r="D31" s="3" t="s">
        <v>15</v>
      </c>
      <c r="E31" s="4" t="n">
        <v>5.95</v>
      </c>
    </row>
    <row r="32" customFormat="false" ht="17.15" hidden="false" customHeight="false" outlineLevel="0" collapsed="false">
      <c r="A32" s="2" t="s">
        <v>43</v>
      </c>
      <c r="B32" s="2" t="s">
        <v>49</v>
      </c>
      <c r="C32" s="3" t="s">
        <v>45</v>
      </c>
      <c r="D32" s="3" t="s">
        <v>8</v>
      </c>
      <c r="E32" s="4" t="n">
        <v>53.07</v>
      </c>
    </row>
    <row r="33" customFormat="false" ht="17.15" hidden="false" customHeight="false" outlineLevel="0" collapsed="false">
      <c r="A33" s="2" t="s">
        <v>43</v>
      </c>
      <c r="B33" s="2" t="s">
        <v>50</v>
      </c>
      <c r="C33" s="3" t="s">
        <v>45</v>
      </c>
      <c r="D33" s="3" t="s">
        <v>15</v>
      </c>
      <c r="E33" s="4" t="n">
        <v>14.9</v>
      </c>
    </row>
    <row r="34" customFormat="false" ht="17.15" hidden="false" customHeight="false" outlineLevel="0" collapsed="false">
      <c r="A34" s="2" t="s">
        <v>43</v>
      </c>
      <c r="B34" s="2" t="s">
        <v>51</v>
      </c>
      <c r="C34" s="3" t="s">
        <v>45</v>
      </c>
      <c r="D34" s="3" t="s">
        <v>15</v>
      </c>
      <c r="E34" s="4" t="n">
        <v>18.27</v>
      </c>
    </row>
    <row r="35" customFormat="false" ht="17.15" hidden="false" customHeight="false" outlineLevel="0" collapsed="false">
      <c r="A35" s="2" t="s">
        <v>43</v>
      </c>
      <c r="B35" s="2" t="s">
        <v>52</v>
      </c>
      <c r="C35" s="3" t="s">
        <v>45</v>
      </c>
      <c r="D35" s="3" t="s">
        <v>8</v>
      </c>
      <c r="E35" s="4" t="n">
        <v>81.9</v>
      </c>
    </row>
    <row r="36" customFormat="false" ht="17.15" hidden="false" customHeight="false" outlineLevel="0" collapsed="false">
      <c r="A36" s="2" t="s">
        <v>53</v>
      </c>
      <c r="B36" s="5" t="s">
        <v>54</v>
      </c>
      <c r="C36" s="3" t="s">
        <v>45</v>
      </c>
      <c r="D36" s="3" t="s">
        <v>8</v>
      </c>
      <c r="E36" s="4" t="n">
        <v>16</v>
      </c>
    </row>
    <row r="37" customFormat="false" ht="17.15" hidden="false" customHeight="false" outlineLevel="0" collapsed="false">
      <c r="A37" s="2" t="s">
        <v>53</v>
      </c>
      <c r="B37" s="5" t="s">
        <v>55</v>
      </c>
      <c r="C37" s="3" t="s">
        <v>45</v>
      </c>
      <c r="D37" s="3" t="s">
        <v>15</v>
      </c>
      <c r="E37" s="4" t="n">
        <v>29.38</v>
      </c>
    </row>
    <row r="38" customFormat="false" ht="17.15" hidden="false" customHeight="false" outlineLevel="0" collapsed="false">
      <c r="A38" s="2" t="s">
        <v>53</v>
      </c>
      <c r="B38" s="5" t="s">
        <v>27</v>
      </c>
      <c r="C38" s="3" t="s">
        <v>45</v>
      </c>
      <c r="D38" s="3" t="s">
        <v>8</v>
      </c>
      <c r="E38" s="4" t="n">
        <v>78</v>
      </c>
    </row>
    <row r="39" customFormat="false" ht="17.15" hidden="false" customHeight="false" outlineLevel="0" collapsed="false">
      <c r="A39" s="2" t="s">
        <v>53</v>
      </c>
      <c r="B39" s="5" t="s">
        <v>18</v>
      </c>
      <c r="C39" s="3" t="s">
        <v>45</v>
      </c>
      <c r="D39" s="3" t="s">
        <v>8</v>
      </c>
      <c r="E39" s="4" t="n">
        <v>38</v>
      </c>
    </row>
    <row r="40" customFormat="false" ht="17.15" hidden="false" customHeight="false" outlineLevel="0" collapsed="false">
      <c r="A40" s="2" t="s">
        <v>53</v>
      </c>
      <c r="B40" s="5" t="s">
        <v>56</v>
      </c>
      <c r="C40" s="3" t="s">
        <v>45</v>
      </c>
      <c r="D40" s="3" t="s">
        <v>15</v>
      </c>
      <c r="E40" s="4" t="n">
        <v>85</v>
      </c>
    </row>
    <row r="41" customFormat="false" ht="17.15" hidden="false" customHeight="false" outlineLevel="0" collapsed="false">
      <c r="A41" s="2" t="s">
        <v>53</v>
      </c>
      <c r="B41" s="2" t="s">
        <v>57</v>
      </c>
      <c r="C41" s="3" t="s">
        <v>45</v>
      </c>
      <c r="D41" s="3" t="s">
        <v>41</v>
      </c>
      <c r="E41" s="4" t="n">
        <v>120</v>
      </c>
    </row>
    <row r="42" customFormat="false" ht="17.15" hidden="false" customHeight="false" outlineLevel="0" collapsed="false">
      <c r="A42" s="2" t="s">
        <v>58</v>
      </c>
      <c r="B42" s="5" t="s">
        <v>59</v>
      </c>
      <c r="C42" s="3" t="s">
        <v>45</v>
      </c>
      <c r="D42" s="3" t="s">
        <v>8</v>
      </c>
      <c r="E42" s="4" t="n">
        <v>16</v>
      </c>
    </row>
    <row r="43" customFormat="false" ht="17.15" hidden="false" customHeight="false" outlineLevel="0" collapsed="false">
      <c r="A43" s="2" t="s">
        <v>58</v>
      </c>
      <c r="B43" s="2" t="s">
        <v>60</v>
      </c>
      <c r="C43" s="3" t="s">
        <v>45</v>
      </c>
      <c r="D43" s="3" t="s">
        <v>15</v>
      </c>
      <c r="E43" s="4" t="n">
        <v>48.5</v>
      </c>
    </row>
    <row r="44" customFormat="false" ht="17.15" hidden="false" customHeight="false" outlineLevel="0" collapsed="false">
      <c r="A44" s="2" t="s">
        <v>61</v>
      </c>
      <c r="B44" s="5" t="s">
        <v>62</v>
      </c>
      <c r="C44" s="3" t="s">
        <v>45</v>
      </c>
      <c r="D44" s="3" t="s">
        <v>8</v>
      </c>
      <c r="E44" s="4" t="n">
        <v>5.2</v>
      </c>
    </row>
    <row r="45" customFormat="false" ht="17.15" hidden="false" customHeight="false" outlineLevel="0" collapsed="false">
      <c r="A45" s="2" t="s">
        <v>61</v>
      </c>
      <c r="B45" s="5" t="s">
        <v>63</v>
      </c>
      <c r="C45" s="3" t="s">
        <v>45</v>
      </c>
      <c r="D45" s="3" t="s">
        <v>8</v>
      </c>
      <c r="E45" s="4" t="n">
        <v>26.38</v>
      </c>
    </row>
    <row r="46" customFormat="false" ht="17.15" hidden="false" customHeight="false" outlineLevel="0" collapsed="false">
      <c r="A46" s="2" t="s">
        <v>61</v>
      </c>
      <c r="B46" s="5" t="s">
        <v>59</v>
      </c>
      <c r="C46" s="3" t="s">
        <v>45</v>
      </c>
      <c r="D46" s="3" t="s">
        <v>8</v>
      </c>
      <c r="E46" s="4" t="n">
        <v>3.1</v>
      </c>
    </row>
    <row r="47" customFormat="false" ht="17.15" hidden="false" customHeight="false" outlineLevel="0" collapsed="false">
      <c r="A47" s="2" t="s">
        <v>61</v>
      </c>
      <c r="B47" s="5" t="s">
        <v>64</v>
      </c>
      <c r="C47" s="3" t="s">
        <v>45</v>
      </c>
      <c r="D47" s="3" t="s">
        <v>41</v>
      </c>
      <c r="E47" s="4" t="n">
        <v>30.9</v>
      </c>
    </row>
    <row r="48" customFormat="false" ht="17.15" hidden="false" customHeight="false" outlineLevel="0" collapsed="false">
      <c r="A48" s="2" t="s">
        <v>61</v>
      </c>
      <c r="B48" s="5" t="s">
        <v>62</v>
      </c>
      <c r="C48" s="3" t="s">
        <v>45</v>
      </c>
      <c r="D48" s="3" t="s">
        <v>8</v>
      </c>
      <c r="E48" s="4" t="n">
        <v>0.52</v>
      </c>
    </row>
    <row r="49" customFormat="false" ht="17.15" hidden="false" customHeight="false" outlineLevel="0" collapsed="false">
      <c r="A49" s="2" t="s">
        <v>65</v>
      </c>
      <c r="B49" s="2" t="s">
        <v>66</v>
      </c>
      <c r="C49" s="3" t="s">
        <v>45</v>
      </c>
      <c r="D49" s="3" t="s">
        <v>15</v>
      </c>
      <c r="E49" s="4" t="n">
        <v>6.51</v>
      </c>
    </row>
    <row r="50" customFormat="false" ht="17.15" hidden="false" customHeight="false" outlineLevel="0" collapsed="false">
      <c r="A50" s="2" t="s">
        <v>65</v>
      </c>
      <c r="B50" s="5" t="s">
        <v>67</v>
      </c>
      <c r="C50" s="3" t="s">
        <v>45</v>
      </c>
      <c r="D50" s="3" t="s">
        <v>41</v>
      </c>
      <c r="E50" s="4" t="n">
        <v>95</v>
      </c>
    </row>
    <row r="51" customFormat="false" ht="17.15" hidden="false" customHeight="false" outlineLevel="0" collapsed="false">
      <c r="A51" s="2" t="s">
        <v>65</v>
      </c>
      <c r="B51" s="5" t="s">
        <v>68</v>
      </c>
      <c r="C51" s="3" t="s">
        <v>45</v>
      </c>
      <c r="D51" s="3" t="s">
        <v>15</v>
      </c>
      <c r="E51" s="4" t="n">
        <v>4.59</v>
      </c>
    </row>
    <row r="52" customFormat="false" ht="17.15" hidden="false" customHeight="false" outlineLevel="0" collapsed="false">
      <c r="A52" s="2" t="s">
        <v>65</v>
      </c>
      <c r="B52" s="2" t="s">
        <v>69</v>
      </c>
      <c r="C52" s="3" t="s">
        <v>45</v>
      </c>
      <c r="D52" s="3" t="s">
        <v>10</v>
      </c>
      <c r="E52" s="4" t="n">
        <v>26.1</v>
      </c>
    </row>
    <row r="53" customFormat="false" ht="17.15" hidden="false" customHeight="false" outlineLevel="0" collapsed="false">
      <c r="A53" s="2" t="s">
        <v>65</v>
      </c>
      <c r="B53" s="2" t="s">
        <v>70</v>
      </c>
      <c r="C53" s="3" t="s">
        <v>45</v>
      </c>
      <c r="D53" s="3" t="s">
        <v>15</v>
      </c>
      <c r="E53" s="4" t="n">
        <v>128</v>
      </c>
    </row>
    <row r="54" customFormat="false" ht="17.15" hidden="false" customHeight="false" outlineLevel="0" collapsed="false">
      <c r="A54" s="2" t="s">
        <v>65</v>
      </c>
      <c r="B54" s="2" t="s">
        <v>71</v>
      </c>
      <c r="C54" s="3" t="s">
        <v>45</v>
      </c>
      <c r="D54" s="3" t="s">
        <v>15</v>
      </c>
      <c r="E54" s="4" t="n">
        <v>7.5</v>
      </c>
    </row>
    <row r="55" customFormat="false" ht="17.15" hidden="false" customHeight="false" outlineLevel="0" collapsed="false">
      <c r="A55" s="2" t="s">
        <v>65</v>
      </c>
      <c r="B55" s="2" t="s">
        <v>72</v>
      </c>
      <c r="C55" s="3" t="s">
        <v>45</v>
      </c>
      <c r="D55" s="3" t="s">
        <v>41</v>
      </c>
      <c r="E55" s="4" t="n">
        <v>27.5</v>
      </c>
    </row>
    <row r="56" customFormat="false" ht="17.15" hidden="false" customHeight="false" outlineLevel="0" collapsed="false">
      <c r="A56" s="2" t="s">
        <v>73</v>
      </c>
      <c r="B56" s="5" t="s">
        <v>36</v>
      </c>
      <c r="C56" s="3" t="s">
        <v>45</v>
      </c>
      <c r="D56" s="3" t="s">
        <v>15</v>
      </c>
      <c r="E56" s="4" t="n">
        <v>29.32</v>
      </c>
    </row>
    <row r="57" customFormat="false" ht="17.15" hidden="false" customHeight="false" outlineLevel="0" collapsed="false">
      <c r="A57" s="2" t="s">
        <v>73</v>
      </c>
      <c r="B57" s="5" t="s">
        <v>17</v>
      </c>
      <c r="C57" s="3" t="s">
        <v>45</v>
      </c>
      <c r="D57" s="3" t="s">
        <v>8</v>
      </c>
      <c r="E57" s="4" t="n">
        <v>34</v>
      </c>
    </row>
    <row r="58" customFormat="false" ht="17.15" hidden="false" customHeight="false" outlineLevel="0" collapsed="false">
      <c r="A58" s="2" t="s">
        <v>73</v>
      </c>
      <c r="B58" s="5" t="s">
        <v>62</v>
      </c>
      <c r="C58" s="3" t="s">
        <v>45</v>
      </c>
      <c r="D58" s="3" t="s">
        <v>8</v>
      </c>
      <c r="E58" s="4" t="n">
        <v>3.9</v>
      </c>
    </row>
    <row r="59" customFormat="false" ht="17.15" hidden="false" customHeight="false" outlineLevel="0" collapsed="false">
      <c r="A59" s="2" t="s">
        <v>73</v>
      </c>
      <c r="B59" s="5" t="s">
        <v>18</v>
      </c>
      <c r="C59" s="3" t="s">
        <v>45</v>
      </c>
      <c r="D59" s="3" t="s">
        <v>8</v>
      </c>
      <c r="E59" s="4" t="n">
        <v>3.99</v>
      </c>
    </row>
    <row r="60" customFormat="false" ht="17.15" hidden="false" customHeight="false" outlineLevel="0" collapsed="false">
      <c r="A60" s="2" t="s">
        <v>73</v>
      </c>
      <c r="B60" s="5" t="s">
        <v>56</v>
      </c>
      <c r="C60" s="3" t="s">
        <v>45</v>
      </c>
      <c r="D60" s="3" t="s">
        <v>15</v>
      </c>
      <c r="E60" s="4" t="n">
        <v>62.5</v>
      </c>
    </row>
    <row r="61" customFormat="false" ht="17.15" hidden="false" customHeight="false" outlineLevel="0" collapsed="false">
      <c r="A61" s="2" t="s">
        <v>73</v>
      </c>
      <c r="B61" s="5" t="s">
        <v>62</v>
      </c>
      <c r="C61" s="3" t="s">
        <v>45</v>
      </c>
      <c r="D61" s="3" t="s">
        <v>8</v>
      </c>
      <c r="E61" s="4" t="n">
        <v>3.6</v>
      </c>
    </row>
    <row r="62" customFormat="false" ht="17.15" hidden="false" customHeight="false" outlineLevel="0" collapsed="false">
      <c r="A62" s="2" t="s">
        <v>73</v>
      </c>
      <c r="B62" s="5" t="s">
        <v>74</v>
      </c>
      <c r="C62" s="3" t="s">
        <v>45</v>
      </c>
      <c r="D62" s="3" t="s">
        <v>10</v>
      </c>
      <c r="E62" s="4" t="n">
        <v>15.9</v>
      </c>
    </row>
    <row r="63" customFormat="false" ht="17.15" hidden="false" customHeight="false" outlineLevel="0" collapsed="false">
      <c r="A63" s="2" t="s">
        <v>75</v>
      </c>
      <c r="B63" s="2" t="s">
        <v>31</v>
      </c>
      <c r="C63" s="3" t="s">
        <v>45</v>
      </c>
      <c r="D63" s="3" t="s">
        <v>15</v>
      </c>
      <c r="E63" s="4" t="n">
        <v>94.1</v>
      </c>
    </row>
    <row r="64" customFormat="false" ht="17.15" hidden="false" customHeight="false" outlineLevel="0" collapsed="false">
      <c r="A64" s="2" t="s">
        <v>75</v>
      </c>
      <c r="B64" s="2" t="s">
        <v>76</v>
      </c>
      <c r="C64" s="3" t="s">
        <v>45</v>
      </c>
      <c r="D64" s="3" t="s">
        <v>15</v>
      </c>
      <c r="E64" s="4" t="n">
        <v>8.74</v>
      </c>
    </row>
    <row r="65" customFormat="false" ht="17.15" hidden="false" customHeight="false" outlineLevel="0" collapsed="false">
      <c r="A65" s="2" t="s">
        <v>75</v>
      </c>
      <c r="B65" s="2" t="s">
        <v>52</v>
      </c>
      <c r="C65" s="3" t="s">
        <v>45</v>
      </c>
      <c r="D65" s="3" t="s">
        <v>8</v>
      </c>
      <c r="E65" s="4" t="n">
        <v>3.4</v>
      </c>
    </row>
    <row r="66" customFormat="false" ht="17.15" hidden="false" customHeight="false" outlineLevel="0" collapsed="false">
      <c r="A66" s="2" t="s">
        <v>77</v>
      </c>
      <c r="B66" s="2" t="s">
        <v>78</v>
      </c>
      <c r="C66" s="3" t="s">
        <v>45</v>
      </c>
      <c r="D66" s="3" t="s">
        <v>10</v>
      </c>
      <c r="E66" s="4" t="n">
        <v>28.17</v>
      </c>
    </row>
    <row r="67" customFormat="false" ht="17.15" hidden="false" customHeight="false" outlineLevel="0" collapsed="false">
      <c r="A67" s="2" t="s">
        <v>77</v>
      </c>
      <c r="B67" s="2" t="s">
        <v>79</v>
      </c>
      <c r="C67" s="3" t="s">
        <v>45</v>
      </c>
      <c r="D67" s="3" t="s">
        <v>80</v>
      </c>
      <c r="E67" s="4" t="n">
        <v>32.78</v>
      </c>
    </row>
    <row r="68" customFormat="false" ht="17.15" hidden="false" customHeight="false" outlineLevel="0" collapsed="false">
      <c r="A68" s="2" t="s">
        <v>77</v>
      </c>
      <c r="B68" s="2" t="s">
        <v>6</v>
      </c>
      <c r="C68" s="3" t="s">
        <v>45</v>
      </c>
      <c r="D68" s="3" t="s">
        <v>8</v>
      </c>
      <c r="E68" s="4" t="n">
        <v>2</v>
      </c>
    </row>
    <row r="69" customFormat="false" ht="17.15" hidden="false" customHeight="false" outlineLevel="0" collapsed="false">
      <c r="A69" s="2" t="s">
        <v>77</v>
      </c>
      <c r="B69" s="2" t="s">
        <v>81</v>
      </c>
      <c r="C69" s="3" t="s">
        <v>45</v>
      </c>
      <c r="D69" s="3" t="s">
        <v>41</v>
      </c>
      <c r="E69" s="4" t="n">
        <v>3</v>
      </c>
    </row>
    <row r="70" customFormat="false" ht="17.15" hidden="false" customHeight="false" outlineLevel="0" collapsed="false">
      <c r="A70" s="2" t="s">
        <v>77</v>
      </c>
      <c r="B70" s="2" t="s">
        <v>52</v>
      </c>
      <c r="C70" s="3" t="s">
        <v>45</v>
      </c>
      <c r="D70" s="3" t="s">
        <v>8</v>
      </c>
      <c r="E70" s="4" t="n">
        <v>1</v>
      </c>
    </row>
    <row r="71" customFormat="false" ht="17.15" hidden="false" customHeight="false" outlineLevel="0" collapsed="false">
      <c r="A71" s="2" t="s">
        <v>77</v>
      </c>
      <c r="B71" s="2" t="s">
        <v>82</v>
      </c>
      <c r="C71" s="3" t="s">
        <v>45</v>
      </c>
      <c r="D71" s="3" t="s">
        <v>8</v>
      </c>
      <c r="E71" s="4" t="n">
        <v>35.49</v>
      </c>
    </row>
    <row r="72" customFormat="false" ht="17.15" hidden="false" customHeight="false" outlineLevel="0" collapsed="false">
      <c r="A72" s="2" t="s">
        <v>77</v>
      </c>
      <c r="B72" s="2" t="s">
        <v>6</v>
      </c>
      <c r="C72" s="3" t="s">
        <v>45</v>
      </c>
      <c r="D72" s="3" t="s">
        <v>8</v>
      </c>
      <c r="E72" s="4" t="n">
        <v>0.8</v>
      </c>
    </row>
    <row r="73" customFormat="false" ht="17.15" hidden="false" customHeight="false" outlineLevel="0" collapsed="false">
      <c r="A73" s="2" t="s">
        <v>77</v>
      </c>
      <c r="B73" s="2" t="s">
        <v>6</v>
      </c>
      <c r="C73" s="3" t="s">
        <v>45</v>
      </c>
      <c r="D73" s="3" t="s">
        <v>8</v>
      </c>
      <c r="E73" s="4" t="n">
        <v>4.8</v>
      </c>
    </row>
    <row r="74" customFormat="false" ht="17.15" hidden="false" customHeight="false" outlineLevel="0" collapsed="false">
      <c r="A74" s="2" t="s">
        <v>77</v>
      </c>
      <c r="B74" s="2" t="s">
        <v>31</v>
      </c>
      <c r="C74" s="3" t="s">
        <v>45</v>
      </c>
      <c r="D74" s="3" t="s">
        <v>15</v>
      </c>
      <c r="E74" s="4" t="n">
        <v>50</v>
      </c>
    </row>
    <row r="75" customFormat="false" ht="17.15" hidden="false" customHeight="false" outlineLevel="0" collapsed="false">
      <c r="A75" s="2" t="s">
        <v>77</v>
      </c>
      <c r="B75" s="2" t="s">
        <v>83</v>
      </c>
      <c r="C75" s="3" t="s">
        <v>45</v>
      </c>
      <c r="D75" s="3" t="s">
        <v>10</v>
      </c>
      <c r="E75" s="4" t="n">
        <v>6.15</v>
      </c>
    </row>
    <row r="76" customFormat="false" ht="17.15" hidden="false" customHeight="false" outlineLevel="0" collapsed="false">
      <c r="A76" s="2" t="s">
        <v>77</v>
      </c>
      <c r="B76" s="2" t="s">
        <v>52</v>
      </c>
      <c r="C76" s="3" t="s">
        <v>45</v>
      </c>
      <c r="D76" s="3" t="s">
        <v>8</v>
      </c>
      <c r="E76" s="4" t="n">
        <v>2.8</v>
      </c>
    </row>
    <row r="77" customFormat="false" ht="17.15" hidden="false" customHeight="false" outlineLevel="0" collapsed="false">
      <c r="A77" s="2" t="s">
        <v>77</v>
      </c>
      <c r="B77" s="2" t="s">
        <v>6</v>
      </c>
      <c r="C77" s="3" t="s">
        <v>45</v>
      </c>
      <c r="D77" s="3" t="s">
        <v>8</v>
      </c>
      <c r="E77" s="4" t="n">
        <v>4</v>
      </c>
    </row>
    <row r="78" customFormat="false" ht="17.15" hidden="false" customHeight="false" outlineLevel="0" collapsed="false">
      <c r="A78" s="2" t="s">
        <v>84</v>
      </c>
      <c r="B78" s="2" t="s">
        <v>85</v>
      </c>
      <c r="C78" s="3" t="s">
        <v>45</v>
      </c>
      <c r="D78" s="3" t="s">
        <v>8</v>
      </c>
      <c r="E78" s="4" t="n">
        <v>19.7</v>
      </c>
    </row>
    <row r="79" customFormat="false" ht="17.15" hidden="false" customHeight="false" outlineLevel="0" collapsed="false">
      <c r="A79" s="2" t="s">
        <v>84</v>
      </c>
      <c r="B79" s="2" t="s">
        <v>86</v>
      </c>
      <c r="C79" s="3" t="s">
        <v>45</v>
      </c>
      <c r="D79" s="3" t="s">
        <v>8</v>
      </c>
      <c r="E79" s="4" t="n">
        <v>40</v>
      </c>
    </row>
    <row r="80" customFormat="false" ht="17.15" hidden="false" customHeight="false" outlineLevel="0" collapsed="false">
      <c r="A80" s="2" t="s">
        <v>84</v>
      </c>
      <c r="B80" s="2" t="s">
        <v>87</v>
      </c>
      <c r="C80" s="3" t="s">
        <v>45</v>
      </c>
      <c r="D80" s="3" t="s">
        <v>41</v>
      </c>
      <c r="E80" s="4" t="n">
        <v>372</v>
      </c>
    </row>
    <row r="81" customFormat="false" ht="17.15" hidden="false" customHeight="false" outlineLevel="0" collapsed="false">
      <c r="A81" s="2" t="s">
        <v>84</v>
      </c>
      <c r="B81" s="2" t="s">
        <v>76</v>
      </c>
      <c r="C81" s="3" t="s">
        <v>45</v>
      </c>
      <c r="D81" s="3" t="s">
        <v>15</v>
      </c>
      <c r="E81" s="4" t="n">
        <v>15.37</v>
      </c>
    </row>
    <row r="82" customFormat="false" ht="17.15" hidden="false" customHeight="false" outlineLevel="0" collapsed="false">
      <c r="A82" s="2" t="s">
        <v>84</v>
      </c>
      <c r="B82" s="2" t="s">
        <v>31</v>
      </c>
      <c r="C82" s="3" t="s">
        <v>45</v>
      </c>
      <c r="D82" s="3" t="s">
        <v>15</v>
      </c>
      <c r="E82" s="4" t="n">
        <v>60.93</v>
      </c>
    </row>
    <row r="83" customFormat="false" ht="17.15" hidden="false" customHeight="false" outlineLevel="0" collapsed="false">
      <c r="A83" s="2" t="s">
        <v>88</v>
      </c>
      <c r="B83" s="2" t="s">
        <v>76</v>
      </c>
      <c r="C83" s="3" t="s">
        <v>45</v>
      </c>
      <c r="D83" s="3" t="s">
        <v>15</v>
      </c>
      <c r="E83" s="4" t="n">
        <v>7.28</v>
      </c>
    </row>
    <row r="84" customFormat="false" ht="17.15" hidden="false" customHeight="false" outlineLevel="0" collapsed="false">
      <c r="A84" s="2" t="s">
        <v>88</v>
      </c>
      <c r="B84" s="2" t="s">
        <v>89</v>
      </c>
      <c r="C84" s="3" t="s">
        <v>45</v>
      </c>
      <c r="D84" s="3" t="s">
        <v>15</v>
      </c>
      <c r="E84" s="4" t="n">
        <v>15.67</v>
      </c>
    </row>
    <row r="85" customFormat="false" ht="17.15" hidden="false" customHeight="false" outlineLevel="0" collapsed="false">
      <c r="A85" s="2" t="s">
        <v>88</v>
      </c>
      <c r="B85" s="5" t="s">
        <v>90</v>
      </c>
      <c r="C85" s="3" t="s">
        <v>45</v>
      </c>
      <c r="D85" s="3" t="s">
        <v>41</v>
      </c>
      <c r="E85" s="4" t="n">
        <v>32.5</v>
      </c>
    </row>
    <row r="86" customFormat="false" ht="17.15" hidden="false" customHeight="false" outlineLevel="0" collapsed="false">
      <c r="A86" s="2" t="s">
        <v>88</v>
      </c>
      <c r="B86" s="2" t="s">
        <v>6</v>
      </c>
      <c r="C86" s="3" t="s">
        <v>45</v>
      </c>
      <c r="D86" s="3" t="s">
        <v>8</v>
      </c>
      <c r="E86" s="4" t="n">
        <v>31.5</v>
      </c>
    </row>
    <row r="87" customFormat="false" ht="17.15" hidden="false" customHeight="false" outlineLevel="0" collapsed="false">
      <c r="A87" s="2" t="s">
        <v>88</v>
      </c>
      <c r="B87" s="2" t="s">
        <v>31</v>
      </c>
      <c r="C87" s="3" t="s">
        <v>45</v>
      </c>
      <c r="D87" s="3" t="s">
        <v>15</v>
      </c>
      <c r="E87" s="4" t="n">
        <v>70</v>
      </c>
    </row>
    <row r="88" customFormat="false" ht="17.15" hidden="false" customHeight="false" outlineLevel="0" collapsed="false">
      <c r="A88" s="2" t="s">
        <v>88</v>
      </c>
      <c r="B88" s="2" t="s">
        <v>6</v>
      </c>
      <c r="C88" s="3" t="s">
        <v>45</v>
      </c>
      <c r="D88" s="3" t="s">
        <v>8</v>
      </c>
      <c r="E88" s="4" t="n">
        <v>10</v>
      </c>
    </row>
    <row r="89" customFormat="false" ht="17.15" hidden="false" customHeight="false" outlineLevel="0" collapsed="false">
      <c r="A89" s="2" t="s">
        <v>91</v>
      </c>
      <c r="B89" s="5" t="s">
        <v>92</v>
      </c>
      <c r="C89" s="3" t="s">
        <v>45</v>
      </c>
      <c r="D89" s="3" t="s">
        <v>15</v>
      </c>
      <c r="E89" s="4" t="n">
        <v>24.41</v>
      </c>
    </row>
    <row r="90" customFormat="false" ht="17.15" hidden="false" customHeight="false" outlineLevel="0" collapsed="false">
      <c r="A90" s="2" t="s">
        <v>91</v>
      </c>
      <c r="B90" s="5" t="s">
        <v>18</v>
      </c>
      <c r="C90" s="3" t="s">
        <v>45</v>
      </c>
      <c r="D90" s="3" t="s">
        <v>8</v>
      </c>
      <c r="E90" s="4" t="n">
        <v>15</v>
      </c>
    </row>
    <row r="91" customFormat="false" ht="17.15" hidden="false" customHeight="false" outlineLevel="0" collapsed="false">
      <c r="A91" s="2" t="s">
        <v>91</v>
      </c>
      <c r="B91" s="5" t="s">
        <v>56</v>
      </c>
      <c r="C91" s="3" t="s">
        <v>45</v>
      </c>
      <c r="D91" s="3" t="s">
        <v>15</v>
      </c>
      <c r="E91" s="4" t="n">
        <v>74.6</v>
      </c>
    </row>
    <row r="92" customFormat="false" ht="17.15" hidden="false" customHeight="false" outlineLevel="0" collapsed="false">
      <c r="A92" s="2" t="s">
        <v>91</v>
      </c>
      <c r="B92" s="5" t="s">
        <v>62</v>
      </c>
      <c r="C92" s="3" t="s">
        <v>45</v>
      </c>
      <c r="D92" s="3" t="s">
        <v>8</v>
      </c>
      <c r="E92" s="4" t="n">
        <v>9</v>
      </c>
    </row>
    <row r="93" customFormat="false" ht="17.15" hidden="false" customHeight="false" outlineLevel="0" collapsed="false">
      <c r="A93" s="2" t="s">
        <v>91</v>
      </c>
      <c r="B93" s="5" t="s">
        <v>17</v>
      </c>
      <c r="C93" s="3" t="s">
        <v>45</v>
      </c>
      <c r="D93" s="3" t="s">
        <v>8</v>
      </c>
      <c r="E93" s="4" t="n">
        <v>25.25</v>
      </c>
    </row>
    <row r="94" customFormat="false" ht="17.15" hidden="false" customHeight="false" outlineLevel="0" collapsed="false">
      <c r="A94" s="2" t="s">
        <v>93</v>
      </c>
      <c r="B94" s="2" t="s">
        <v>76</v>
      </c>
      <c r="C94" s="3" t="s">
        <v>45</v>
      </c>
      <c r="D94" s="3" t="s">
        <v>15</v>
      </c>
      <c r="E94" s="4" t="n">
        <v>32</v>
      </c>
    </row>
    <row r="95" customFormat="false" ht="17.15" hidden="false" customHeight="false" outlineLevel="0" collapsed="false">
      <c r="A95" s="2" t="s">
        <v>93</v>
      </c>
      <c r="B95" s="2" t="s">
        <v>94</v>
      </c>
      <c r="C95" s="3" t="s">
        <v>45</v>
      </c>
      <c r="D95" s="3" t="s">
        <v>41</v>
      </c>
      <c r="E95" s="4" t="n">
        <v>15</v>
      </c>
    </row>
    <row r="96" customFormat="false" ht="17.15" hidden="false" customHeight="false" outlineLevel="0" collapsed="false">
      <c r="A96" s="2" t="s">
        <v>93</v>
      </c>
      <c r="B96" s="2" t="s">
        <v>6</v>
      </c>
      <c r="C96" s="3" t="s">
        <v>45</v>
      </c>
      <c r="D96" s="3" t="s">
        <v>8</v>
      </c>
      <c r="E96" s="4" t="n">
        <v>2</v>
      </c>
    </row>
    <row r="97" customFormat="false" ht="17.15" hidden="false" customHeight="false" outlineLevel="0" collapsed="false">
      <c r="A97" s="2" t="s">
        <v>93</v>
      </c>
      <c r="B97" s="2" t="s">
        <v>6</v>
      </c>
      <c r="C97" s="3" t="s">
        <v>45</v>
      </c>
      <c r="D97" s="3" t="s">
        <v>8</v>
      </c>
      <c r="E97" s="4" t="n">
        <v>27.5</v>
      </c>
    </row>
    <row r="98" customFormat="false" ht="17.15" hidden="false" customHeight="false" outlineLevel="0" collapsed="false">
      <c r="A98" s="2" t="s">
        <v>93</v>
      </c>
      <c r="B98" s="2" t="s">
        <v>31</v>
      </c>
      <c r="C98" s="3" t="s">
        <v>45</v>
      </c>
      <c r="D98" s="3" t="s">
        <v>15</v>
      </c>
      <c r="E98" s="4" t="n">
        <v>91.25</v>
      </c>
    </row>
    <row r="99" customFormat="false" ht="17.15" hidden="false" customHeight="false" outlineLevel="0" collapsed="false">
      <c r="A99" s="2" t="s">
        <v>95</v>
      </c>
      <c r="B99" s="2" t="s">
        <v>76</v>
      </c>
      <c r="C99" s="3" t="s">
        <v>45</v>
      </c>
      <c r="D99" s="3" t="s">
        <v>15</v>
      </c>
      <c r="E99" s="4" t="n">
        <v>12.5</v>
      </c>
    </row>
    <row r="100" customFormat="false" ht="17.15" hidden="false" customHeight="false" outlineLevel="0" collapsed="false">
      <c r="A100" s="2" t="s">
        <v>95</v>
      </c>
      <c r="B100" s="2" t="s">
        <v>6</v>
      </c>
      <c r="C100" s="3" t="s">
        <v>45</v>
      </c>
      <c r="D100" s="3" t="s">
        <v>8</v>
      </c>
      <c r="E100" s="4" t="n">
        <v>24</v>
      </c>
    </row>
    <row r="101" customFormat="false" ht="17.15" hidden="false" customHeight="false" outlineLevel="0" collapsed="false">
      <c r="A101" s="2" t="s">
        <v>95</v>
      </c>
      <c r="B101" s="2" t="s">
        <v>31</v>
      </c>
      <c r="C101" s="3" t="s">
        <v>45</v>
      </c>
      <c r="D101" s="3" t="s">
        <v>15</v>
      </c>
      <c r="E101" s="4" t="n">
        <v>73.6</v>
      </c>
    </row>
    <row r="102" customFormat="false" ht="17.15" hidden="false" customHeight="false" outlineLevel="0" collapsed="false">
      <c r="A102" s="2" t="s">
        <v>95</v>
      </c>
      <c r="B102" s="2" t="s">
        <v>96</v>
      </c>
      <c r="C102" s="3" t="s">
        <v>45</v>
      </c>
      <c r="D102" s="3" t="s">
        <v>15</v>
      </c>
      <c r="E102" s="4" t="n">
        <v>3.2</v>
      </c>
    </row>
    <row r="103" customFormat="false" ht="17.15" hidden="false" customHeight="false" outlineLevel="0" collapsed="false">
      <c r="A103" s="2" t="s">
        <v>97</v>
      </c>
      <c r="B103" s="2" t="s">
        <v>98</v>
      </c>
      <c r="C103" s="3" t="s">
        <v>45</v>
      </c>
      <c r="D103" s="3" t="s">
        <v>8</v>
      </c>
      <c r="E103" s="4" t="n">
        <v>6.6</v>
      </c>
    </row>
    <row r="104" customFormat="false" ht="17.15" hidden="false" customHeight="false" outlineLevel="0" collapsed="false">
      <c r="A104" s="2" t="s">
        <v>97</v>
      </c>
      <c r="B104" s="2" t="s">
        <v>99</v>
      </c>
      <c r="C104" s="3" t="s">
        <v>45</v>
      </c>
      <c r="D104" s="3" t="s">
        <v>10</v>
      </c>
      <c r="E104" s="4" t="n">
        <v>30</v>
      </c>
    </row>
    <row r="105" customFormat="false" ht="17.15" hidden="false" customHeight="false" outlineLevel="0" collapsed="false">
      <c r="A105" s="2" t="s">
        <v>97</v>
      </c>
      <c r="B105" s="2" t="s">
        <v>52</v>
      </c>
      <c r="C105" s="3" t="s">
        <v>45</v>
      </c>
      <c r="D105" s="3" t="s">
        <v>8</v>
      </c>
      <c r="E105" s="4" t="n">
        <v>19.6</v>
      </c>
    </row>
    <row r="106" customFormat="false" ht="17.15" hidden="false" customHeight="false" outlineLevel="0" collapsed="false">
      <c r="A106" s="2" t="s">
        <v>97</v>
      </c>
      <c r="B106" s="2" t="s">
        <v>52</v>
      </c>
      <c r="C106" s="3" t="s">
        <v>45</v>
      </c>
      <c r="D106" s="3" t="s">
        <v>8</v>
      </c>
      <c r="E106" s="4" t="n">
        <v>4.2</v>
      </c>
    </row>
    <row r="107" customFormat="false" ht="17.15" hidden="false" customHeight="false" outlineLevel="0" collapsed="false">
      <c r="A107" s="2" t="s">
        <v>97</v>
      </c>
      <c r="B107" s="5" t="s">
        <v>56</v>
      </c>
      <c r="C107" s="3" t="s">
        <v>45</v>
      </c>
      <c r="D107" s="3" t="s">
        <v>15</v>
      </c>
      <c r="E107" s="4" t="n">
        <v>88.5</v>
      </c>
    </row>
    <row r="108" customFormat="false" ht="17.15" hidden="false" customHeight="false" outlineLevel="0" collapsed="false">
      <c r="A108" s="2" t="s">
        <v>97</v>
      </c>
      <c r="B108" s="5" t="s">
        <v>17</v>
      </c>
      <c r="C108" s="3" t="s">
        <v>45</v>
      </c>
      <c r="D108" s="3" t="s">
        <v>8</v>
      </c>
      <c r="E108" s="4" t="n">
        <v>29.89</v>
      </c>
    </row>
    <row r="109" customFormat="false" ht="17.15" hidden="false" customHeight="false" outlineLevel="0" collapsed="false">
      <c r="A109" s="2" t="s">
        <v>97</v>
      </c>
      <c r="B109" s="2" t="s">
        <v>52</v>
      </c>
      <c r="C109" s="3" t="s">
        <v>45</v>
      </c>
      <c r="D109" s="3" t="s">
        <v>8</v>
      </c>
      <c r="E109" s="4" t="n">
        <v>9.9</v>
      </c>
    </row>
    <row r="110" customFormat="false" ht="17.15" hidden="false" customHeight="false" outlineLevel="0" collapsed="false">
      <c r="A110" s="2" t="s">
        <v>97</v>
      </c>
      <c r="B110" s="2" t="s">
        <v>6</v>
      </c>
      <c r="C110" s="3" t="s">
        <v>45</v>
      </c>
      <c r="D110" s="3" t="s">
        <v>8</v>
      </c>
      <c r="E110" s="4" t="n">
        <v>5</v>
      </c>
    </row>
    <row r="111" customFormat="false" ht="17.15" hidden="false" customHeight="false" outlineLevel="0" collapsed="false">
      <c r="A111" s="2" t="s">
        <v>97</v>
      </c>
      <c r="B111" s="2" t="s">
        <v>100</v>
      </c>
      <c r="C111" s="3" t="s">
        <v>45</v>
      </c>
      <c r="D111" s="3" t="s">
        <v>10</v>
      </c>
      <c r="E111" s="4" t="n">
        <v>12.89</v>
      </c>
    </row>
    <row r="112" customFormat="false" ht="17.15" hidden="false" customHeight="false" outlineLevel="0" collapsed="false">
      <c r="A112" s="2" t="s">
        <v>97</v>
      </c>
      <c r="B112" s="2" t="s">
        <v>71</v>
      </c>
      <c r="C112" s="3" t="s">
        <v>45</v>
      </c>
      <c r="D112" s="3" t="s">
        <v>15</v>
      </c>
      <c r="E112" s="4" t="n">
        <v>12.6</v>
      </c>
    </row>
    <row r="113" customFormat="false" ht="17.15" hidden="false" customHeight="false" outlineLevel="0" collapsed="false">
      <c r="A113" s="2" t="s">
        <v>97</v>
      </c>
      <c r="B113" s="2" t="s">
        <v>101</v>
      </c>
      <c r="C113" s="3" t="s">
        <v>45</v>
      </c>
      <c r="D113" s="3" t="s">
        <v>15</v>
      </c>
      <c r="E113" s="4" t="n">
        <v>19.7</v>
      </c>
    </row>
    <row r="114" customFormat="false" ht="17.15" hidden="false" customHeight="false" outlineLevel="0" collapsed="false">
      <c r="A114" s="2" t="s">
        <v>97</v>
      </c>
      <c r="B114" s="2" t="s">
        <v>76</v>
      </c>
      <c r="C114" s="3" t="s">
        <v>45</v>
      </c>
      <c r="D114" s="3" t="s">
        <v>15</v>
      </c>
      <c r="E114" s="4" t="n">
        <v>6.78</v>
      </c>
    </row>
    <row r="115" customFormat="false" ht="17.15" hidden="false" customHeight="false" outlineLevel="0" collapsed="false">
      <c r="A115" s="2" t="s">
        <v>102</v>
      </c>
      <c r="B115" s="5" t="s">
        <v>103</v>
      </c>
      <c r="C115" s="3" t="s">
        <v>45</v>
      </c>
      <c r="D115" s="3" t="s">
        <v>80</v>
      </c>
      <c r="E115" s="4" t="n">
        <v>14.8</v>
      </c>
    </row>
    <row r="116" customFormat="false" ht="17.15" hidden="false" customHeight="false" outlineLevel="0" collapsed="false">
      <c r="A116" s="2" t="s">
        <v>102</v>
      </c>
      <c r="B116" s="2" t="s">
        <v>52</v>
      </c>
      <c r="C116" s="3" t="s">
        <v>45</v>
      </c>
      <c r="D116" s="3" t="s">
        <v>8</v>
      </c>
      <c r="E116" s="4" t="n">
        <v>1.7</v>
      </c>
    </row>
    <row r="117" customFormat="false" ht="17.15" hidden="false" customHeight="false" outlineLevel="0" collapsed="false">
      <c r="A117" s="2" t="s">
        <v>102</v>
      </c>
      <c r="B117" s="2" t="s">
        <v>104</v>
      </c>
      <c r="C117" s="3" t="s">
        <v>45</v>
      </c>
      <c r="D117" s="3" t="s">
        <v>80</v>
      </c>
      <c r="E117" s="4" t="n">
        <v>79.83</v>
      </c>
    </row>
    <row r="118" customFormat="false" ht="17.15" hidden="false" customHeight="false" outlineLevel="0" collapsed="false">
      <c r="A118" s="2" t="s">
        <v>102</v>
      </c>
      <c r="B118" s="2" t="s">
        <v>6</v>
      </c>
      <c r="C118" s="3" t="s">
        <v>45</v>
      </c>
      <c r="D118" s="3" t="s">
        <v>8</v>
      </c>
      <c r="E118" s="4" t="n">
        <v>2.18</v>
      </c>
    </row>
    <row r="119" customFormat="false" ht="17.15" hidden="false" customHeight="false" outlineLevel="0" collapsed="false">
      <c r="A119" s="2" t="s">
        <v>102</v>
      </c>
      <c r="B119" s="2" t="s">
        <v>105</v>
      </c>
      <c r="C119" s="3" t="s">
        <v>45</v>
      </c>
      <c r="D119" s="3" t="s">
        <v>15</v>
      </c>
      <c r="E119" s="4" t="n">
        <v>45</v>
      </c>
    </row>
    <row r="120" customFormat="false" ht="17.15" hidden="false" customHeight="false" outlineLevel="0" collapsed="false">
      <c r="A120" s="2" t="s">
        <v>102</v>
      </c>
      <c r="B120" s="2" t="s">
        <v>106</v>
      </c>
      <c r="C120" s="3" t="s">
        <v>45</v>
      </c>
      <c r="D120" s="3" t="s">
        <v>41</v>
      </c>
      <c r="E120" s="4" t="n">
        <v>14</v>
      </c>
    </row>
    <row r="121" customFormat="false" ht="17.15" hidden="false" customHeight="false" outlineLevel="0" collapsed="false">
      <c r="A121" s="2" t="s">
        <v>102</v>
      </c>
      <c r="B121" s="2" t="s">
        <v>82</v>
      </c>
      <c r="C121" s="3" t="s">
        <v>45</v>
      </c>
      <c r="D121" s="3" t="s">
        <v>8</v>
      </c>
      <c r="E121" s="4" t="n">
        <v>25</v>
      </c>
    </row>
    <row r="122" customFormat="false" ht="17.15" hidden="false" customHeight="false" outlineLevel="0" collapsed="false">
      <c r="A122" s="2" t="s">
        <v>102</v>
      </c>
      <c r="B122" s="2" t="s">
        <v>52</v>
      </c>
      <c r="C122" s="3" t="s">
        <v>45</v>
      </c>
      <c r="D122" s="3" t="s">
        <v>8</v>
      </c>
      <c r="E122" s="4" t="n">
        <v>1.9</v>
      </c>
    </row>
    <row r="123" customFormat="false" ht="17.15" hidden="false" customHeight="false" outlineLevel="0" collapsed="false">
      <c r="A123" s="2" t="s">
        <v>102</v>
      </c>
      <c r="B123" s="2" t="s">
        <v>52</v>
      </c>
      <c r="C123" s="3" t="s">
        <v>45</v>
      </c>
      <c r="D123" s="3" t="s">
        <v>8</v>
      </c>
      <c r="E123" s="4" t="n">
        <v>3.5</v>
      </c>
    </row>
    <row r="124" customFormat="false" ht="17.15" hidden="false" customHeight="false" outlineLevel="0" collapsed="false">
      <c r="A124" s="2" t="s">
        <v>102</v>
      </c>
      <c r="B124" s="2" t="s">
        <v>107</v>
      </c>
      <c r="C124" s="3" t="s">
        <v>45</v>
      </c>
      <c r="D124" s="3" t="s">
        <v>8</v>
      </c>
      <c r="E124" s="4" t="n">
        <v>50</v>
      </c>
    </row>
    <row r="125" customFormat="false" ht="17.15" hidden="false" customHeight="false" outlineLevel="0" collapsed="false">
      <c r="A125" s="2" t="s">
        <v>102</v>
      </c>
      <c r="B125" s="5" t="s">
        <v>108</v>
      </c>
      <c r="C125" s="3" t="s">
        <v>45</v>
      </c>
      <c r="D125" s="3" t="s">
        <v>15</v>
      </c>
      <c r="E125" s="4" t="n">
        <v>18</v>
      </c>
    </row>
    <row r="126" customFormat="false" ht="15" hidden="false" customHeight="false" outlineLevel="0" collapsed="false">
      <c r="D126" s="6" t="s">
        <v>109</v>
      </c>
      <c r="E126" s="7" t="n">
        <f aca="false">SUM(E2:E125)</f>
        <v>6317.28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8"/>
    <col collapsed="false" customWidth="true" hidden="false" outlineLevel="0" max="3" min="3" style="0" width="14"/>
    <col collapsed="false" customWidth="true" hidden="false" outlineLevel="0" max="4" min="4" style="0" width="8"/>
  </cols>
  <sheetData>
    <row r="1" customFormat="false" ht="17.15" hidden="false" customHeight="false" outlineLevel="0" collapsed="false">
      <c r="A1" s="1" t="s">
        <v>3</v>
      </c>
      <c r="B1" s="1" t="s">
        <v>110</v>
      </c>
      <c r="C1" s="1" t="s">
        <v>111</v>
      </c>
      <c r="D1" s="1" t="s">
        <v>112</v>
      </c>
    </row>
    <row r="2" customFormat="false" ht="15" hidden="false" customHeight="false" outlineLevel="0" collapsed="false">
      <c r="A2" s="8" t="s">
        <v>15</v>
      </c>
      <c r="B2" s="3" t="n">
        <f aca="false">COUNTIF('전체 내역'!D:D,A2)</f>
        <v>46</v>
      </c>
      <c r="C2" s="9" t="n">
        <f aca="false">SUMIF('전체 내역'!D:D,A2,'전체 내역'!E:E)</f>
        <v>1977.01</v>
      </c>
      <c r="D2" s="10" t="n">
        <f aca="false">C2/$C$8</f>
        <v>0.312952726489882</v>
      </c>
    </row>
    <row r="3" customFormat="false" ht="17.15" hidden="false" customHeight="false" outlineLevel="0" collapsed="false">
      <c r="A3" s="11" t="s">
        <v>113</v>
      </c>
      <c r="B3" s="3" t="n">
        <f aca="false">COUNTIF('전체 내역'!D:D,A3)</f>
        <v>52</v>
      </c>
      <c r="C3" s="9" t="n">
        <f aca="false">SUMIF('전체 내역'!D:D,A3,'전체 내역'!E:E)</f>
        <v>1258.37</v>
      </c>
      <c r="D3" s="10" t="n">
        <f aca="false">C3/$C$8</f>
        <v>0.199194906668693</v>
      </c>
    </row>
    <row r="4" customFormat="false" ht="17.15" hidden="false" customHeight="false" outlineLevel="0" collapsed="false">
      <c r="A4" s="12" t="s">
        <v>114</v>
      </c>
      <c r="B4" s="3" t="n">
        <f aca="false">COUNTIF('전체 내역'!D:D,A4)</f>
        <v>10</v>
      </c>
      <c r="C4" s="9" t="n">
        <f aca="false">SUMIF('전체 내역'!D:D,A4,'전체 내역'!E:E)</f>
        <v>869.9</v>
      </c>
      <c r="D4" s="10" t="n">
        <f aca="false">C4/$C$8</f>
        <v>0.137701669072766</v>
      </c>
    </row>
    <row r="5" customFormat="false" ht="15" hidden="false" customHeight="false" outlineLevel="0" collapsed="false">
      <c r="A5" s="13" t="s">
        <v>46</v>
      </c>
      <c r="B5" s="3" t="n">
        <f aca="false">COUNTIF('전체 내역'!D:D,A5)</f>
        <v>2</v>
      </c>
      <c r="C5" s="9" t="n">
        <f aca="false">SUMIF('전체 내역'!D:D,A5,'전체 내역'!E:E)</f>
        <v>1717.88</v>
      </c>
      <c r="D5" s="10" t="n">
        <f aca="false">C5/$C$8</f>
        <v>0.271933490362941</v>
      </c>
    </row>
    <row r="6" customFormat="false" ht="15" hidden="false" customHeight="false" outlineLevel="0" collapsed="false">
      <c r="A6" s="14" t="s">
        <v>80</v>
      </c>
      <c r="B6" s="3" t="n">
        <f aca="false">COUNTIF('전체 내역'!D:D,A6)</f>
        <v>3</v>
      </c>
      <c r="C6" s="9" t="n">
        <f aca="false">SUMIF('전체 내역'!D:D,A6,'전체 내역'!E:E)</f>
        <v>127.41</v>
      </c>
      <c r="D6" s="10" t="n">
        <f aca="false">C6/$C$8</f>
        <v>0.0201684902363042</v>
      </c>
    </row>
    <row r="7" customFormat="false" ht="15" hidden="false" customHeight="false" outlineLevel="0" collapsed="false">
      <c r="A7" s="15" t="s">
        <v>10</v>
      </c>
      <c r="B7" s="3" t="n">
        <f aca="false">COUNTIF('전체 내역'!D:D,A7)</f>
        <v>11</v>
      </c>
      <c r="C7" s="9" t="n">
        <f aca="false">SUMIF('전체 내역'!D:D,A7,'전체 내역'!E:E)</f>
        <v>366.71</v>
      </c>
      <c r="D7" s="10" t="n">
        <f aca="false">C7/$C$8</f>
        <v>0.0580487171694147</v>
      </c>
    </row>
    <row r="8" customFormat="false" ht="15" hidden="false" customHeight="false" outlineLevel="0" collapsed="false">
      <c r="A8" s="16" t="s">
        <v>109</v>
      </c>
      <c r="B8" s="17" t="n">
        <f aca="false">SUM(B2:B7)</f>
        <v>124</v>
      </c>
      <c r="C8" s="18" t="n">
        <f aca="false">SUM(C2:C7)</f>
        <v>6317.28</v>
      </c>
      <c r="D8" s="19" t="n">
        <f aca="false">C8/C8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2"/>
    <col collapsed="false" customWidth="true" hidden="false" outlineLevel="0" max="3" min="3" style="0" width="14"/>
  </cols>
  <sheetData>
    <row r="1" customFormat="false" ht="17.15" hidden="false" customHeight="false" outlineLevel="0" collapsed="false">
      <c r="A1" s="1" t="s">
        <v>0</v>
      </c>
      <c r="B1" s="1" t="s">
        <v>2</v>
      </c>
      <c r="C1" s="1" t="s">
        <v>115</v>
      </c>
    </row>
    <row r="2" customFormat="false" ht="15" hidden="false" customHeight="false" outlineLevel="0" collapsed="false">
      <c r="A2" s="2" t="s">
        <v>5</v>
      </c>
      <c r="B2" s="3" t="s">
        <v>7</v>
      </c>
      <c r="C2" s="9" t="n">
        <f aca="false">SUMIF('전체 내역'!A:A,A2,'전체 내역'!E:E)</f>
        <v>80</v>
      </c>
    </row>
    <row r="3" customFormat="false" ht="15" hidden="false" customHeight="false" outlineLevel="0" collapsed="false">
      <c r="A3" s="2" t="s">
        <v>11</v>
      </c>
      <c r="B3" s="3" t="s">
        <v>7</v>
      </c>
      <c r="C3" s="9" t="n">
        <f aca="false">SUMIF('전체 내역'!A:A,A3,'전체 내역'!E:E)</f>
        <v>87</v>
      </c>
    </row>
    <row r="4" customFormat="false" ht="15" hidden="false" customHeight="false" outlineLevel="0" collapsed="false">
      <c r="A4" s="2" t="s">
        <v>13</v>
      </c>
      <c r="B4" s="3" t="s">
        <v>7</v>
      </c>
      <c r="C4" s="9" t="n">
        <f aca="false">SUMIF('전체 내역'!A:A,A4,'전체 내역'!E:E)</f>
        <v>370.6</v>
      </c>
    </row>
    <row r="5" customFormat="false" ht="15" hidden="false" customHeight="false" outlineLevel="0" collapsed="false">
      <c r="A5" s="2" t="s">
        <v>19</v>
      </c>
      <c r="B5" s="3" t="s">
        <v>7</v>
      </c>
      <c r="C5" s="9" t="n">
        <f aca="false">SUMIF('전체 내역'!A:A,A5,'전체 내역'!E:E)</f>
        <v>222.5</v>
      </c>
    </row>
    <row r="6" customFormat="false" ht="15" hidden="false" customHeight="false" outlineLevel="0" collapsed="false">
      <c r="A6" s="2" t="s">
        <v>22</v>
      </c>
      <c r="B6" s="3" t="s">
        <v>7</v>
      </c>
      <c r="C6" s="9" t="n">
        <f aca="false">SUMIF('전체 내역'!A:A,A6,'전체 내역'!E:E)</f>
        <v>154.65</v>
      </c>
    </row>
    <row r="7" customFormat="false" ht="15" hidden="false" customHeight="false" outlineLevel="0" collapsed="false">
      <c r="A7" s="2" t="s">
        <v>25</v>
      </c>
      <c r="B7" s="3" t="s">
        <v>7</v>
      </c>
      <c r="C7" s="9" t="n">
        <f aca="false">SUMIF('전체 내역'!A:A,A7,'전체 내역'!E:E)</f>
        <v>183</v>
      </c>
    </row>
    <row r="8" customFormat="false" ht="15" hidden="false" customHeight="false" outlineLevel="0" collapsed="false">
      <c r="A8" s="2" t="s">
        <v>30</v>
      </c>
      <c r="B8" s="3" t="s">
        <v>7</v>
      </c>
      <c r="C8" s="9" t="n">
        <f aca="false">SUMIF('전체 내역'!A:A,A8,'전체 내역'!E:E)</f>
        <v>94.85</v>
      </c>
    </row>
    <row r="9" customFormat="false" ht="15" hidden="false" customHeight="false" outlineLevel="0" collapsed="false">
      <c r="A9" s="2" t="s">
        <v>33</v>
      </c>
      <c r="B9" s="3" t="s">
        <v>7</v>
      </c>
      <c r="C9" s="9" t="n">
        <f aca="false">SUMIF('전체 내역'!A:A,A9,'전체 내역'!E:E)</f>
        <v>94.25</v>
      </c>
    </row>
    <row r="10" customFormat="false" ht="15" hidden="false" customHeight="false" outlineLevel="0" collapsed="false">
      <c r="A10" s="2" t="s">
        <v>35</v>
      </c>
      <c r="B10" s="3" t="s">
        <v>7</v>
      </c>
      <c r="C10" s="9" t="n">
        <f aca="false">SUMIF('전체 내역'!A:A,A10,'전체 내역'!E:E)</f>
        <v>29.51</v>
      </c>
    </row>
    <row r="11" customFormat="false" ht="15" hidden="false" customHeight="false" outlineLevel="0" collapsed="false">
      <c r="A11" s="2" t="s">
        <v>38</v>
      </c>
      <c r="B11" s="3" t="s">
        <v>7</v>
      </c>
      <c r="C11" s="9" t="n">
        <f aca="false">SUMIF('전체 내역'!A:A,A11,'전체 내역'!E:E)</f>
        <v>280.5</v>
      </c>
    </row>
    <row r="12" customFormat="false" ht="17.15" hidden="false" customHeight="false" outlineLevel="0" collapsed="false">
      <c r="A12" s="2" t="s">
        <v>43</v>
      </c>
      <c r="B12" s="3" t="s">
        <v>45</v>
      </c>
      <c r="C12" s="9" t="n">
        <f aca="false">SUMIF('전체 내역'!A:A,A12,'전체 내역'!E:E)</f>
        <v>1891.97</v>
      </c>
    </row>
    <row r="13" customFormat="false" ht="17.15" hidden="false" customHeight="false" outlineLevel="0" collapsed="false">
      <c r="A13" s="2" t="s">
        <v>53</v>
      </c>
      <c r="B13" s="3" t="s">
        <v>45</v>
      </c>
      <c r="C13" s="9" t="n">
        <f aca="false">SUMIF('전체 내역'!A:A,A13,'전체 내역'!E:E)</f>
        <v>366.38</v>
      </c>
    </row>
    <row r="14" customFormat="false" ht="17.15" hidden="false" customHeight="false" outlineLevel="0" collapsed="false">
      <c r="A14" s="2" t="s">
        <v>58</v>
      </c>
      <c r="B14" s="3" t="s">
        <v>45</v>
      </c>
      <c r="C14" s="9" t="n">
        <f aca="false">SUMIF('전체 내역'!A:A,A14,'전체 내역'!E:E)</f>
        <v>64.5</v>
      </c>
    </row>
    <row r="15" customFormat="false" ht="17.15" hidden="false" customHeight="false" outlineLevel="0" collapsed="false">
      <c r="A15" s="2" t="s">
        <v>61</v>
      </c>
      <c r="B15" s="3" t="s">
        <v>45</v>
      </c>
      <c r="C15" s="9" t="n">
        <f aca="false">SUMIF('전체 내역'!A:A,A15,'전체 내역'!E:E)</f>
        <v>66.1</v>
      </c>
    </row>
    <row r="16" customFormat="false" ht="17.15" hidden="false" customHeight="false" outlineLevel="0" collapsed="false">
      <c r="A16" s="2" t="s">
        <v>65</v>
      </c>
      <c r="B16" s="3" t="s">
        <v>45</v>
      </c>
      <c r="C16" s="9" t="n">
        <f aca="false">SUMIF('전체 내역'!A:A,A16,'전체 내역'!E:E)</f>
        <v>295.2</v>
      </c>
    </row>
    <row r="17" customFormat="false" ht="17.15" hidden="false" customHeight="false" outlineLevel="0" collapsed="false">
      <c r="A17" s="2" t="s">
        <v>73</v>
      </c>
      <c r="B17" s="3" t="s">
        <v>45</v>
      </c>
      <c r="C17" s="9" t="n">
        <f aca="false">SUMIF('전체 내역'!A:A,A17,'전체 내역'!E:E)</f>
        <v>153.21</v>
      </c>
    </row>
    <row r="18" customFormat="false" ht="17.15" hidden="false" customHeight="false" outlineLevel="0" collapsed="false">
      <c r="A18" s="2" t="s">
        <v>75</v>
      </c>
      <c r="B18" s="3" t="s">
        <v>45</v>
      </c>
      <c r="C18" s="9" t="n">
        <f aca="false">SUMIF('전체 내역'!A:A,A18,'전체 내역'!E:E)</f>
        <v>106.24</v>
      </c>
    </row>
    <row r="19" customFormat="false" ht="17.15" hidden="false" customHeight="false" outlineLevel="0" collapsed="false">
      <c r="A19" s="2" t="s">
        <v>77</v>
      </c>
      <c r="B19" s="3" t="s">
        <v>45</v>
      </c>
      <c r="C19" s="9" t="n">
        <f aca="false">SUMIF('전체 내역'!A:A,A19,'전체 내역'!E:E)</f>
        <v>170.99</v>
      </c>
    </row>
    <row r="20" customFormat="false" ht="17.15" hidden="false" customHeight="false" outlineLevel="0" collapsed="false">
      <c r="A20" s="2" t="s">
        <v>84</v>
      </c>
      <c r="B20" s="3" t="s">
        <v>45</v>
      </c>
      <c r="C20" s="9" t="n">
        <f aca="false">SUMIF('전체 내역'!A:A,A20,'전체 내역'!E:E)</f>
        <v>508</v>
      </c>
    </row>
    <row r="21" customFormat="false" ht="17.15" hidden="false" customHeight="false" outlineLevel="0" collapsed="false">
      <c r="A21" s="2" t="s">
        <v>88</v>
      </c>
      <c r="B21" s="3" t="s">
        <v>45</v>
      </c>
      <c r="C21" s="9" t="n">
        <f aca="false">SUMIF('전체 내역'!A:A,A21,'전체 내역'!E:E)</f>
        <v>166.95</v>
      </c>
    </row>
    <row r="22" customFormat="false" ht="17.15" hidden="false" customHeight="false" outlineLevel="0" collapsed="false">
      <c r="A22" s="2" t="s">
        <v>91</v>
      </c>
      <c r="B22" s="3" t="s">
        <v>45</v>
      </c>
      <c r="C22" s="9" t="n">
        <f aca="false">SUMIF('전체 내역'!A:A,A22,'전체 내역'!E:E)</f>
        <v>148.26</v>
      </c>
    </row>
    <row r="23" customFormat="false" ht="17.15" hidden="false" customHeight="false" outlineLevel="0" collapsed="false">
      <c r="A23" s="2" t="s">
        <v>93</v>
      </c>
      <c r="B23" s="3" t="s">
        <v>45</v>
      </c>
      <c r="C23" s="9" t="n">
        <f aca="false">SUMIF('전체 내역'!A:A,A23,'전체 내역'!E:E)</f>
        <v>167.75</v>
      </c>
    </row>
    <row r="24" customFormat="false" ht="17.15" hidden="false" customHeight="false" outlineLevel="0" collapsed="false">
      <c r="A24" s="2" t="s">
        <v>95</v>
      </c>
      <c r="B24" s="3" t="s">
        <v>45</v>
      </c>
      <c r="C24" s="9" t="n">
        <f aca="false">SUMIF('전체 내역'!A:A,A24,'전체 내역'!E:E)</f>
        <v>113.3</v>
      </c>
    </row>
    <row r="25" customFormat="false" ht="17.15" hidden="false" customHeight="false" outlineLevel="0" collapsed="false">
      <c r="A25" s="2" t="s">
        <v>97</v>
      </c>
      <c r="B25" s="3" t="s">
        <v>45</v>
      </c>
      <c r="C25" s="9" t="n">
        <f aca="false">SUMIF('전체 내역'!A:A,A25,'전체 내역'!E:E)</f>
        <v>245.66</v>
      </c>
    </row>
    <row r="26" customFormat="false" ht="17.15" hidden="false" customHeight="false" outlineLevel="0" collapsed="false">
      <c r="A26" s="2" t="s">
        <v>102</v>
      </c>
      <c r="B26" s="3" t="s">
        <v>45</v>
      </c>
      <c r="C26" s="9" t="n">
        <f aca="false">SUMIF('전체 내역'!A:A,A26,'전체 내역'!E:E)</f>
        <v>255.91</v>
      </c>
    </row>
    <row r="27" customFormat="false" ht="15" hidden="false" customHeight="false" outlineLevel="0" collapsed="false">
      <c r="A27" s="20" t="s">
        <v>109</v>
      </c>
      <c r="B27" s="21"/>
      <c r="C27" s="7" t="n">
        <f aca="false">SUM(C2:C26)</f>
        <v>6317.28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14"/>
    <col collapsed="false" customWidth="true" hidden="false" outlineLevel="0" max="3" min="3" style="0" width="16"/>
  </cols>
  <sheetData>
    <row r="1" customFormat="false" ht="20.1" hidden="false" customHeight="false" outlineLevel="0" collapsed="false">
      <c r="A1" s="22" t="s">
        <v>116</v>
      </c>
    </row>
    <row r="3" customFormat="false" ht="17.15" hidden="false" customHeight="false" outlineLevel="0" collapsed="false">
      <c r="A3" s="23" t="s">
        <v>117</v>
      </c>
    </row>
    <row r="4" customFormat="false" ht="17.15" hidden="false" customHeight="false" outlineLevel="0" collapsed="false">
      <c r="B4" s="24" t="s">
        <v>118</v>
      </c>
      <c r="C4" s="24" t="s">
        <v>119</v>
      </c>
    </row>
    <row r="5" customFormat="false" ht="17.15" hidden="false" customHeight="false" outlineLevel="0" collapsed="false">
      <c r="A5" s="25" t="s">
        <v>120</v>
      </c>
      <c r="B5" s="26" t="n">
        <v>2000</v>
      </c>
      <c r="C5" s="27" t="n">
        <v>3523620</v>
      </c>
    </row>
    <row r="6" customFormat="false" ht="17.15" hidden="false" customHeight="false" outlineLevel="0" collapsed="false">
      <c r="A6" s="25" t="s">
        <v>121</v>
      </c>
      <c r="B6" s="26" t="n">
        <v>3000</v>
      </c>
      <c r="C6" s="27" t="n">
        <v>5269980</v>
      </c>
    </row>
    <row r="7" customFormat="false" ht="17.15" hidden="false" customHeight="false" outlineLevel="0" collapsed="false">
      <c r="A7" s="25" t="s">
        <v>122</v>
      </c>
      <c r="B7" s="26" t="n">
        <v>750</v>
      </c>
      <c r="C7" s="27" t="n">
        <v>1350254</v>
      </c>
    </row>
    <row r="8" customFormat="false" ht="17.15" hidden="false" customHeight="false" outlineLevel="0" collapsed="false">
      <c r="A8" s="25" t="s">
        <v>123</v>
      </c>
      <c r="B8" s="26" t="n">
        <v>500</v>
      </c>
      <c r="C8" s="27" t="n">
        <v>878915</v>
      </c>
    </row>
    <row r="9" customFormat="false" ht="17.15" hidden="false" customHeight="false" outlineLevel="0" collapsed="false">
      <c r="A9" s="28" t="s">
        <v>124</v>
      </c>
      <c r="B9" s="29" t="n">
        <f aca="false">SUM(B5:B8)</f>
        <v>6250</v>
      </c>
      <c r="C9" s="30" t="n">
        <f aca="false">SUM(C5:C8)</f>
        <v>11022769</v>
      </c>
    </row>
    <row r="10" customFormat="false" ht="17.15" hidden="false" customHeight="false" outlineLevel="0" collapsed="false">
      <c r="A10" s="31" t="s">
        <v>125</v>
      </c>
      <c r="B10" s="32" t="n">
        <f aca="false">'전체 내역'!E126</f>
        <v>6317.28</v>
      </c>
    </row>
    <row r="11" customFormat="false" ht="17.15" hidden="false" customHeight="false" outlineLevel="0" collapsed="false">
      <c r="A11" s="28" t="s">
        <v>126</v>
      </c>
      <c r="B11" s="33" t="n">
        <f aca="false">B9-B10</f>
        <v>-67.2799999999998</v>
      </c>
      <c r="C11" s="34"/>
    </row>
    <row r="13" customFormat="false" ht="17.15" hidden="false" customHeight="false" outlineLevel="0" collapsed="false">
      <c r="A13" s="23" t="s">
        <v>127</v>
      </c>
    </row>
    <row r="14" customFormat="false" ht="17.15" hidden="false" customHeight="false" outlineLevel="0" collapsed="false">
      <c r="A14" s="31" t="s">
        <v>128</v>
      </c>
      <c r="C14" s="27" t="n">
        <v>2702600</v>
      </c>
    </row>
    <row r="15" customFormat="false" ht="17.15" hidden="false" customHeight="false" outlineLevel="0" collapsed="false">
      <c r="A15" s="31" t="s">
        <v>129</v>
      </c>
      <c r="C15" s="27" t="n">
        <v>6420000</v>
      </c>
    </row>
    <row r="16" customFormat="false" ht="17.15" hidden="false" customHeight="false" outlineLevel="0" collapsed="false">
      <c r="A16" s="31" t="s">
        <v>130</v>
      </c>
      <c r="C16" s="27" t="n">
        <v>11022769</v>
      </c>
    </row>
    <row r="17" customFormat="false" ht="17.15" hidden="false" customHeight="false" outlineLevel="0" collapsed="false">
      <c r="A17" s="20" t="s">
        <v>131</v>
      </c>
      <c r="B17" s="35"/>
      <c r="C17" s="36" t="n">
        <f aca="false">SUM(C14:C16)</f>
        <v>20145369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2026-06-16T20:43:36Z</dcterms:created>
  <dc:creator>openpyxl</dc:creator>
  <dc:description/>
  <dc:language>en-US</dc:language>
  <cp:lastModifiedBy/>
  <dcterms:modified xsi:type="dcterms:W3CDTF">2026-06-16T20:43:37Z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